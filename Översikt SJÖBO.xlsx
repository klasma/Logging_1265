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46169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46169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46169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46169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46169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46169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46169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46169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46169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46169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46169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46169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46169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59610-2023</t>
        </is>
      </c>
      <c r="B19" s="1" t="n">
        <v>45253</v>
      </c>
      <c r="C19" s="1" t="n">
        <v>46169</v>
      </c>
      <c r="D19" t="inlineStr">
        <is>
          <t>SKÅNE LÄN</t>
        </is>
      </c>
      <c r="E19" t="inlineStr">
        <is>
          <t>SJÖBO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HYPERLINK("https://klasma.github.io/Logging_1265/artfynd/A 59610-2023 artfynd.xlsx", "A 59610-2023")</f>
        <v/>
      </c>
      <c r="T19">
        <f>HYPERLINK("https://klasma.github.io/Logging_1265/kartor/A 59610-2023 karta.png", "A 59610-2023")</f>
        <v/>
      </c>
      <c r="V19">
        <f>HYPERLINK("https://klasma.github.io/Logging_1265/klagomål/A 59610-2023 FSC-klagomål.docx", "A 59610-2023")</f>
        <v/>
      </c>
      <c r="W19">
        <f>HYPERLINK("https://klasma.github.io/Logging_1265/klagomålsmail/A 59610-2023 FSC-klagomål mail.docx", "A 59610-2023")</f>
        <v/>
      </c>
      <c r="X19">
        <f>HYPERLINK("https://klasma.github.io/Logging_1265/tillsyn/A 59610-2023 tillsynsbegäran.docx", "A 59610-2023")</f>
        <v/>
      </c>
      <c r="Y19">
        <f>HYPERLINK("https://klasma.github.io/Logging_1265/tillsynsmail/A 59610-2023 tillsynsbegäran mail.docx", "A 59610-2023")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46169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46169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46169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46169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46169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46169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46169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46169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46169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46169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46169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46169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21973-2025</t>
        </is>
      </c>
      <c r="B36" s="1" t="n">
        <v>45784.6365162037</v>
      </c>
      <c r="C36" s="1" t="n">
        <v>46169</v>
      </c>
      <c r="D36" t="inlineStr">
        <is>
          <t>SKÅNE LÄN</t>
        </is>
      </c>
      <c r="E36" t="inlineStr">
        <is>
          <t>SJÖBO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21976-2025</t>
        </is>
      </c>
      <c r="B37" s="1" t="n">
        <v>45784.64052083333</v>
      </c>
      <c r="C37" s="1" t="n">
        <v>46169</v>
      </c>
      <c r="D37" t="inlineStr">
        <is>
          <t>SKÅNE LÄN</t>
        </is>
      </c>
      <c r="E37" t="inlineStr">
        <is>
          <t>SJÖBO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50815-2025</t>
        </is>
      </c>
      <c r="B38" s="1" t="n">
        <v>45946.52924768518</v>
      </c>
      <c r="C38" s="1" t="n">
        <v>46169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46169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46169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50816-2025</t>
        </is>
      </c>
      <c r="B41" s="1" t="n">
        <v>45946.53009259259</v>
      </c>
      <c r="C41" s="1" t="n">
        <v>46169</v>
      </c>
      <c r="D41" t="inlineStr">
        <is>
          <t>SKÅNE LÄN</t>
        </is>
      </c>
      <c r="E41" t="inlineStr">
        <is>
          <t>SJÖBO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46169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3258-2023</t>
        </is>
      </c>
      <c r="B43" s="1" t="n">
        <v>44948</v>
      </c>
      <c r="C43" s="1" t="n">
        <v>46169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46169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45353-2024</t>
        </is>
      </c>
      <c r="B45" s="1" t="n">
        <v>45576.47909722223</v>
      </c>
      <c r="C45" s="1" t="n">
        <v>46169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46169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46169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46169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24833-2025</t>
        </is>
      </c>
      <c r="B49" s="1" t="n">
        <v>45799.45917824074</v>
      </c>
      <c r="C49" s="1" t="n">
        <v>46169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46169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46169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22330-2024</t>
        </is>
      </c>
      <c r="B52" s="1" t="n">
        <v>45446</v>
      </c>
      <c r="C52" s="1" t="n">
        <v>46169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46169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46169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56137-2021</t>
        </is>
      </c>
      <c r="B55" s="1" t="n">
        <v>44477</v>
      </c>
      <c r="C55" s="1" t="n">
        <v>46169</v>
      </c>
      <c r="D55" t="inlineStr">
        <is>
          <t>SKÅNE LÄN</t>
        </is>
      </c>
      <c r="E55" t="inlineStr">
        <is>
          <t>SJÖBO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46169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46169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40463-2025</t>
        </is>
      </c>
      <c r="B58" s="1" t="n">
        <v>45895</v>
      </c>
      <c r="C58" s="1" t="n">
        <v>46169</v>
      </c>
      <c r="D58" t="inlineStr">
        <is>
          <t>SKÅNE LÄN</t>
        </is>
      </c>
      <c r="E58" t="inlineStr">
        <is>
          <t>SJÖBO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46169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43745-2023</t>
        </is>
      </c>
      <c r="B60" s="1" t="n">
        <v>45187.47180555556</v>
      </c>
      <c r="C60" s="1" t="n">
        <v>46169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46169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46169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46169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46169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46169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46169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16429-2023</t>
        </is>
      </c>
      <c r="B67" s="1" t="n">
        <v>45029</v>
      </c>
      <c r="C67" s="1" t="n">
        <v>46169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45348-2024</t>
        </is>
      </c>
      <c r="B68" s="1" t="n">
        <v>45576.47644675926</v>
      </c>
      <c r="C68" s="1" t="n">
        <v>46169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28919-2023</t>
        </is>
      </c>
      <c r="B69" s="1" t="n">
        <v>45104</v>
      </c>
      <c r="C69" s="1" t="n">
        <v>46169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45981-2023</t>
        </is>
      </c>
      <c r="B70" s="1" t="n">
        <v>45189</v>
      </c>
      <c r="C70" s="1" t="n">
        <v>46169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54711-2023</t>
        </is>
      </c>
      <c r="B71" s="1" t="n">
        <v>45236</v>
      </c>
      <c r="C71" s="1" t="n">
        <v>46169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47180-2025</t>
        </is>
      </c>
      <c r="B72" s="1" t="n">
        <v>45930</v>
      </c>
      <c r="C72" s="1" t="n">
        <v>46169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2026-2022</t>
        </is>
      </c>
      <c r="B73" s="1" t="n">
        <v>44575</v>
      </c>
      <c r="C73" s="1" t="n">
        <v>46169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46169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46169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46169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46169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46169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46169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1879-2025</t>
        </is>
      </c>
      <c r="B80" s="1" t="n">
        <v>45671</v>
      </c>
      <c r="C80" s="1" t="n">
        <v>46169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46169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35454-2025</t>
        </is>
      </c>
      <c r="B82" s="1" t="n">
        <v>45855</v>
      </c>
      <c r="C82" s="1" t="n">
        <v>46169</v>
      </c>
      <c r="D82" t="inlineStr">
        <is>
          <t>SKÅNE LÄN</t>
        </is>
      </c>
      <c r="E82" t="inlineStr">
        <is>
          <t>SJÖBO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34780-2025</t>
        </is>
      </c>
      <c r="B83" s="1" t="n">
        <v>45848</v>
      </c>
      <c r="C83" s="1" t="n">
        <v>46169</v>
      </c>
      <c r="D83" t="inlineStr">
        <is>
          <t>SKÅNE LÄN</t>
        </is>
      </c>
      <c r="E83" t="inlineStr">
        <is>
          <t>SJÖBO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46169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44572.58090277778</v>
      </c>
      <c r="C85" s="1" t="n">
        <v>46169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46169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19883-2024</t>
        </is>
      </c>
      <c r="B87" s="1" t="n">
        <v>45433</v>
      </c>
      <c r="C87" s="1" t="n">
        <v>46169</v>
      </c>
      <c r="D87" t="inlineStr">
        <is>
          <t>SKÅNE LÄN</t>
        </is>
      </c>
      <c r="E87" t="inlineStr">
        <is>
          <t>SJÖBO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19888-2024</t>
        </is>
      </c>
      <c r="B88" s="1" t="n">
        <v>45433</v>
      </c>
      <c r="C88" s="1" t="n">
        <v>46169</v>
      </c>
      <c r="D88" t="inlineStr">
        <is>
          <t>SKÅNE LÄN</t>
        </is>
      </c>
      <c r="E88" t="inlineStr">
        <is>
          <t>SJÖBO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28923-2023</t>
        </is>
      </c>
      <c r="B89" s="1" t="n">
        <v>45104</v>
      </c>
      <c r="C89" s="1" t="n">
        <v>46169</v>
      </c>
      <c r="D89" t="inlineStr">
        <is>
          <t>SKÅNE LÄN</t>
        </is>
      </c>
      <c r="E89" t="inlineStr">
        <is>
          <t>SJÖBO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19884-2024</t>
        </is>
      </c>
      <c r="B90" s="1" t="n">
        <v>45433</v>
      </c>
      <c r="C90" s="1" t="n">
        <v>46169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60371-2023</t>
        </is>
      </c>
      <c r="B91" s="1" t="n">
        <v>45259</v>
      </c>
      <c r="C91" s="1" t="n">
        <v>46169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46169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60900-2025</t>
        </is>
      </c>
      <c r="B93" s="1" t="n">
        <v>45999</v>
      </c>
      <c r="C93" s="1" t="n">
        <v>46169</v>
      </c>
      <c r="D93" t="inlineStr">
        <is>
          <t>SKÅNE LÄN</t>
        </is>
      </c>
      <c r="E93" t="inlineStr">
        <is>
          <t>SJÖBO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61431-2025</t>
        </is>
      </c>
      <c r="B94" s="1" t="n">
        <v>46001.55604166666</v>
      </c>
      <c r="C94" s="1" t="n">
        <v>46169</v>
      </c>
      <c r="D94" t="inlineStr">
        <is>
          <t>SKÅNE LÄN</t>
        </is>
      </c>
      <c r="E94" t="inlineStr">
        <is>
          <t>SJÖBO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60778-2023</t>
        </is>
      </c>
      <c r="B95" s="1" t="n">
        <v>45260</v>
      </c>
      <c r="C95" s="1" t="n">
        <v>46169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1031-2025</t>
        </is>
      </c>
      <c r="B96" s="1" t="n">
        <v>45666.5195949074</v>
      </c>
      <c r="C96" s="1" t="n">
        <v>46169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5444-2025</t>
        </is>
      </c>
      <c r="B97" s="1" t="n">
        <v>45692</v>
      </c>
      <c r="C97" s="1" t="n">
        <v>46169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46169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46169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46169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46169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46169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746-2026</t>
        </is>
      </c>
      <c r="B103" s="1" t="n">
        <v>46029.67237268519</v>
      </c>
      <c r="C103" s="1" t="n">
        <v>46169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749-2026</t>
        </is>
      </c>
      <c r="B104" s="1" t="n">
        <v>46029.6750925926</v>
      </c>
      <c r="C104" s="1" t="n">
        <v>46169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46169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46169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6229-2022</t>
        </is>
      </c>
      <c r="B107" s="1" t="n">
        <v>44600</v>
      </c>
      <c r="C107" s="1" t="n">
        <v>46169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18973-2023</t>
        </is>
      </c>
      <c r="B108" s="1" t="n">
        <v>45044</v>
      </c>
      <c r="C108" s="1" t="n">
        <v>46169</v>
      </c>
      <c r="D108" t="inlineStr">
        <is>
          <t>SKÅNE LÄN</t>
        </is>
      </c>
      <c r="E108" t="inlineStr">
        <is>
          <t>SJÖBO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11500-2024</t>
        </is>
      </c>
      <c r="B109" s="1" t="n">
        <v>45372</v>
      </c>
      <c r="C109" s="1" t="n">
        <v>46169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10454-2022</t>
        </is>
      </c>
      <c r="B110" s="1" t="n">
        <v>44623</v>
      </c>
      <c r="C110" s="1" t="n">
        <v>46169</v>
      </c>
      <c r="D110" t="inlineStr">
        <is>
          <t>SKÅNE LÄN</t>
        </is>
      </c>
      <c r="E110" t="inlineStr">
        <is>
          <t>SJÖBO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3643-2026</t>
        </is>
      </c>
      <c r="B111" s="1" t="n">
        <v>46043.35827546296</v>
      </c>
      <c r="C111" s="1" t="n">
        <v>46169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5197-2026</t>
        </is>
      </c>
      <c r="B112" s="1" t="n">
        <v>46049.66547453704</v>
      </c>
      <c r="C112" s="1" t="n">
        <v>46169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5404-2026</t>
        </is>
      </c>
      <c r="B113" s="1" t="n">
        <v>46049</v>
      </c>
      <c r="C113" s="1" t="n">
        <v>46169</v>
      </c>
      <c r="D113" t="inlineStr">
        <is>
          <t>SKÅNE LÄN</t>
        </is>
      </c>
      <c r="E113" t="inlineStr">
        <is>
          <t>SJÖBO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46169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46169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45407.56798611111</v>
      </c>
      <c r="C116" s="1" t="n">
        <v>46169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47656-2023</t>
        </is>
      </c>
      <c r="B117" s="1" t="n">
        <v>45203</v>
      </c>
      <c r="C117" s="1" t="n">
        <v>46169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45925-2023</t>
        </is>
      </c>
      <c r="B118" s="1" t="n">
        <v>45189</v>
      </c>
      <c r="C118" s="1" t="n">
        <v>46169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7474-2026</t>
        </is>
      </c>
      <c r="B119" s="1" t="n">
        <v>46059.49254629629</v>
      </c>
      <c r="C119" s="1" t="n">
        <v>46169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46169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47943-2023</t>
        </is>
      </c>
      <c r="B121" s="1" t="n">
        <v>45204</v>
      </c>
      <c r="C121" s="1" t="n">
        <v>46169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46169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4663-2026</t>
        </is>
      </c>
      <c r="B123" s="1" t="n">
        <v>46048.4096875</v>
      </c>
      <c r="C123" s="1" t="n">
        <v>46169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46397-2023</t>
        </is>
      </c>
      <c r="B124" s="1" t="n">
        <v>45191</v>
      </c>
      <c r="C124" s="1" t="n">
        <v>46169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16340-2024</t>
        </is>
      </c>
      <c r="B125" s="1" t="n">
        <v>45407.56114583334</v>
      </c>
      <c r="C125" s="1" t="n">
        <v>46169</v>
      </c>
      <c r="D125" t="inlineStr">
        <is>
          <t>SKÅNE LÄN</t>
        </is>
      </c>
      <c r="E125" t="inlineStr">
        <is>
          <t>SJÖBO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62807-2025</t>
        </is>
      </c>
      <c r="B126" s="1" t="n">
        <v>46008</v>
      </c>
      <c r="C126" s="1" t="n">
        <v>46169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46169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62798-2025</t>
        </is>
      </c>
      <c r="B128" s="1" t="n">
        <v>46008</v>
      </c>
      <c r="C128" s="1" t="n">
        <v>46169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46169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64905-2023</t>
        </is>
      </c>
      <c r="B130" s="1" t="n">
        <v>45282</v>
      </c>
      <c r="C130" s="1" t="n">
        <v>46169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51153-2024</t>
        </is>
      </c>
      <c r="B131" s="1" t="n">
        <v>45603.57090277778</v>
      </c>
      <c r="C131" s="1" t="n">
        <v>46169</v>
      </c>
      <c r="D131" t="inlineStr">
        <is>
          <t>SKÅNE LÄN</t>
        </is>
      </c>
      <c r="E131" t="inlineStr">
        <is>
          <t>SJÖBO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15856-2022</t>
        </is>
      </c>
      <c r="B132" s="1" t="n">
        <v>44664</v>
      </c>
      <c r="C132" s="1" t="n">
        <v>46169</v>
      </c>
      <c r="D132" t="inlineStr">
        <is>
          <t>SKÅNE LÄN</t>
        </is>
      </c>
      <c r="E132" t="inlineStr">
        <is>
          <t>SJÖBO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22425-2024</t>
        </is>
      </c>
      <c r="B133" s="1" t="n">
        <v>45446</v>
      </c>
      <c r="C133" s="1" t="n">
        <v>46169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26459-2021</t>
        </is>
      </c>
      <c r="B134" s="1" t="n">
        <v>44348</v>
      </c>
      <c r="C134" s="1" t="n">
        <v>46169</v>
      </c>
      <c r="D134" t="inlineStr">
        <is>
          <t>SKÅNE LÄN</t>
        </is>
      </c>
      <c r="E134" t="inlineStr">
        <is>
          <t>SJÖBO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39414-2023</t>
        </is>
      </c>
      <c r="B135" s="1" t="n">
        <v>45163</v>
      </c>
      <c r="C135" s="1" t="n">
        <v>46169</v>
      </c>
      <c r="D135" t="inlineStr">
        <is>
          <t>SKÅNE LÄN</t>
        </is>
      </c>
      <c r="E135" t="inlineStr">
        <is>
          <t>SJÖBO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31403-2023</t>
        </is>
      </c>
      <c r="B136" s="1" t="n">
        <v>45114</v>
      </c>
      <c r="C136" s="1" t="n">
        <v>46169</v>
      </c>
      <c r="D136" t="inlineStr">
        <is>
          <t>SKÅNE LÄN</t>
        </is>
      </c>
      <c r="E136" t="inlineStr">
        <is>
          <t>SJÖBO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46169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14572-2026</t>
        </is>
      </c>
      <c r="B138" s="1" t="n">
        <v>46101.27979166667</v>
      </c>
      <c r="C138" s="1" t="n">
        <v>46169</v>
      </c>
      <c r="D138" t="inlineStr">
        <is>
          <t>SKÅNE LÄN</t>
        </is>
      </c>
      <c r="E138" t="inlineStr">
        <is>
          <t>SJÖBO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14573-2026</t>
        </is>
      </c>
      <c r="B139" s="1" t="n">
        <v>46101.28510416667</v>
      </c>
      <c r="C139" s="1" t="n">
        <v>46169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21479-2026</t>
        </is>
      </c>
      <c r="B140" s="1" t="n">
        <v>46148</v>
      </c>
      <c r="C140" s="1" t="n">
        <v>46169</v>
      </c>
      <c r="D140" t="inlineStr">
        <is>
          <t>SKÅNE LÄN</t>
        </is>
      </c>
      <c r="E140" t="inlineStr">
        <is>
          <t>SJÖBO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14747-2023</t>
        </is>
      </c>
      <c r="B141" s="1" t="n">
        <v>45014</v>
      </c>
      <c r="C141" s="1" t="n">
        <v>46169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1098-2025</t>
        </is>
      </c>
      <c r="B142" s="1" t="n">
        <v>45666.64070601852</v>
      </c>
      <c r="C142" s="1" t="n">
        <v>46169</v>
      </c>
      <c r="D142" t="inlineStr">
        <is>
          <t>SKÅNE LÄN</t>
        </is>
      </c>
      <c r="E142" t="inlineStr">
        <is>
          <t>SJÖBO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46169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49298-2023</t>
        </is>
      </c>
      <c r="B144" s="1" t="n">
        <v>45210.86210648148</v>
      </c>
      <c r="C144" s="1" t="n">
        <v>46169</v>
      </c>
      <c r="D144" t="inlineStr">
        <is>
          <t>SKÅNE LÄN</t>
        </is>
      </c>
      <c r="E144" t="inlineStr">
        <is>
          <t>SJÖBO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48026-2021</t>
        </is>
      </c>
      <c r="B145" s="1" t="n">
        <v>44449</v>
      </c>
      <c r="C145" s="1" t="n">
        <v>46169</v>
      </c>
      <c r="D145" t="inlineStr">
        <is>
          <t>SKÅNE LÄN</t>
        </is>
      </c>
      <c r="E145" t="inlineStr">
        <is>
          <t>SJÖBO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52958-2024</t>
        </is>
      </c>
      <c r="B146" s="1" t="n">
        <v>45611.26017361111</v>
      </c>
      <c r="C146" s="1" t="n">
        <v>46169</v>
      </c>
      <c r="D146" t="inlineStr">
        <is>
          <t>SKÅNE LÄN</t>
        </is>
      </c>
      <c r="E146" t="inlineStr">
        <is>
          <t>SJÖBO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19877-2024</t>
        </is>
      </c>
      <c r="B147" s="1" t="n">
        <v>45433</v>
      </c>
      <c r="C147" s="1" t="n">
        <v>46169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13754-2023</t>
        </is>
      </c>
      <c r="B148" s="1" t="n">
        <v>45007.40105324074</v>
      </c>
      <c r="C148" s="1" t="n">
        <v>46169</v>
      </c>
      <c r="D148" t="inlineStr">
        <is>
          <t>SKÅNE LÄN</t>
        </is>
      </c>
      <c r="E148" t="inlineStr">
        <is>
          <t>SJÖBO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52959-2024</t>
        </is>
      </c>
      <c r="B149" s="1" t="n">
        <v>45611</v>
      </c>
      <c r="C149" s="1" t="n">
        <v>46169</v>
      </c>
      <c r="D149" t="inlineStr">
        <is>
          <t>SKÅNE LÄN</t>
        </is>
      </c>
      <c r="E149" t="inlineStr">
        <is>
          <t>SJÖBO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2026-05-27T10:56:05Z</dcterms:created>
  <dcterms:modified xmlns:dcterms="http://purl.org/dc/terms/" xmlns:xsi="http://www.w3.org/2001/XMLSchema-instance" xsi:type="dcterms:W3CDTF">2026-05-27T10:56:05Z</dcterms:modified>
</cp:coreProperties>
</file>