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45719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45719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45719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45719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45719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45719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28929-2022</t>
        </is>
      </c>
      <c r="B8" s="1" t="n">
        <v>44749</v>
      </c>
      <c r="C8" s="1" t="n">
        <v>45719</v>
      </c>
      <c r="D8" t="inlineStr">
        <is>
          <t>SKÅNE LÄN</t>
        </is>
      </c>
      <c r="E8" t="inlineStr">
        <is>
          <t>SJÖBO</t>
        </is>
      </c>
      <c r="G8" t="n">
        <v>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HYPERLINK("https://klasma.github.io/Logging_1265/artfynd/A 28929-2022 artfynd.xlsx", "A 28929-2022")</f>
        <v/>
      </c>
      <c r="T8">
        <f>HYPERLINK("https://klasma.github.io/Logging_1265/kartor/A 28929-2022 karta.png", "A 28929-2022")</f>
        <v/>
      </c>
      <c r="V8">
        <f>HYPERLINK("https://klasma.github.io/Logging_1265/klagomål/A 28929-2022 FSC-klagomål.docx", "A 28929-2022")</f>
        <v/>
      </c>
      <c r="W8">
        <f>HYPERLINK("https://klasma.github.io/Logging_1265/klagomålsmail/A 28929-2022 FSC-klagomål mail.docx", "A 28929-2022")</f>
        <v/>
      </c>
      <c r="X8">
        <f>HYPERLINK("https://klasma.github.io/Logging_1265/tillsyn/A 28929-2022 tillsynsbegäran.docx", "A 28929-2022")</f>
        <v/>
      </c>
      <c r="Y8">
        <f>HYPERLINK("https://klasma.github.io/Logging_1265/tillsynsmail/A 28929-2022 tillsynsbegäran mail.docx", "A 28929-2022")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45719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45719</v>
      </c>
      <c r="D10" t="inlineStr">
        <is>
          <t>SKÅNE LÄN</t>
        </is>
      </c>
      <c r="E10" t="inlineStr">
        <is>
          <t>SJÖBO</t>
        </is>
      </c>
      <c r="G10" t="n">
        <v>9.4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26488-2024</t>
        </is>
      </c>
      <c r="B11" s="1" t="n">
        <v>45469</v>
      </c>
      <c r="C11" s="1" t="n">
        <v>45719</v>
      </c>
      <c r="D11" t="inlineStr">
        <is>
          <t>SKÅNE LÄN</t>
        </is>
      </c>
      <c r="E11" t="inlineStr">
        <is>
          <t>SJÖBO</t>
        </is>
      </c>
      <c r="G11" t="n">
        <v>8.1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Triplax rufipes
Vanlig groda</t>
        </is>
      </c>
      <c r="S11">
        <f>HYPERLINK("https://klasma.github.io/Logging_1265/artfynd/A 26488-2024 artfynd.xlsx", "A 26488-2024")</f>
        <v/>
      </c>
      <c r="T11">
        <f>HYPERLINK("https://klasma.github.io/Logging_1265/kartor/A 26488-2024 karta.png", "A 26488-2024")</f>
        <v/>
      </c>
      <c r="V11">
        <f>HYPERLINK("https://klasma.github.io/Logging_1265/klagomål/A 26488-2024 FSC-klagomål.docx", "A 26488-2024")</f>
        <v/>
      </c>
      <c r="W11">
        <f>HYPERLINK("https://klasma.github.io/Logging_1265/klagomålsmail/A 26488-2024 FSC-klagomål mail.docx", "A 26488-2024")</f>
        <v/>
      </c>
      <c r="X11">
        <f>HYPERLINK("https://klasma.github.io/Logging_1265/tillsyn/A 26488-2024 tillsynsbegäran.docx", "A 26488-2024")</f>
        <v/>
      </c>
      <c r="Y11">
        <f>HYPERLINK("https://klasma.github.io/Logging_1265/tillsynsmail/A 26488-2024 tillsynsbegäran mail.docx", "A 26488-2024")</f>
        <v/>
      </c>
    </row>
    <row r="12" ht="15" customHeight="1">
      <c r="A12" t="inlineStr">
        <is>
          <t>A 20427-2019</t>
        </is>
      </c>
      <c r="B12" s="1" t="n">
        <v>43571</v>
      </c>
      <c r="C12" s="1" t="n">
        <v>45719</v>
      </c>
      <c r="D12" t="inlineStr">
        <is>
          <t>SKÅNE LÄN</t>
        </is>
      </c>
      <c r="E12" t="inlineStr">
        <is>
          <t>SJÖBO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20427-2019 artfynd.xlsx", "A 20427-2019")</f>
        <v/>
      </c>
      <c r="T12">
        <f>HYPERLINK("https://klasma.github.io/Logging_1265/kartor/A 20427-2019 karta.png", "A 20427-2019")</f>
        <v/>
      </c>
      <c r="V12">
        <f>HYPERLINK("https://klasma.github.io/Logging_1265/klagomål/A 20427-2019 FSC-klagomål.docx", "A 20427-2019")</f>
        <v/>
      </c>
      <c r="W12">
        <f>HYPERLINK("https://klasma.github.io/Logging_1265/klagomålsmail/A 20427-2019 FSC-klagomål mail.docx", "A 20427-2019")</f>
        <v/>
      </c>
      <c r="X12">
        <f>HYPERLINK("https://klasma.github.io/Logging_1265/tillsyn/A 20427-2019 tillsynsbegäran.docx", "A 20427-2019")</f>
        <v/>
      </c>
      <c r="Y12">
        <f>HYPERLINK("https://klasma.github.io/Logging_1265/tillsynsmail/A 20427-2019 tillsynsbegäran mail.docx", "A 20427-2019")</f>
        <v/>
      </c>
    </row>
    <row r="13" ht="15" customHeight="1">
      <c r="A13" t="inlineStr">
        <is>
          <t>A 24820-2019</t>
        </is>
      </c>
      <c r="B13" s="1" t="n">
        <v>43602</v>
      </c>
      <c r="C13" s="1" t="n">
        <v>45719</v>
      </c>
      <c r="D13" t="inlineStr">
        <is>
          <t>SKÅNE LÄN</t>
        </is>
      </c>
      <c r="E13" t="inlineStr">
        <is>
          <t>SJÖBO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24820-2019 artfynd.xlsx", "A 24820-2019")</f>
        <v/>
      </c>
      <c r="T13">
        <f>HYPERLINK("https://klasma.github.io/Logging_1265/kartor/A 24820-2019 karta.png", "A 24820-2019")</f>
        <v/>
      </c>
      <c r="V13">
        <f>HYPERLINK("https://klasma.github.io/Logging_1265/klagomål/A 24820-2019 FSC-klagomål.docx", "A 24820-2019")</f>
        <v/>
      </c>
      <c r="W13">
        <f>HYPERLINK("https://klasma.github.io/Logging_1265/klagomålsmail/A 24820-2019 FSC-klagomål mail.docx", "A 24820-2019")</f>
        <v/>
      </c>
      <c r="X13">
        <f>HYPERLINK("https://klasma.github.io/Logging_1265/tillsyn/A 24820-2019 tillsynsbegäran.docx", "A 24820-2019")</f>
        <v/>
      </c>
      <c r="Y13">
        <f>HYPERLINK("https://klasma.github.io/Logging_1265/tillsynsmail/A 24820-2019 tillsynsbegäran mail.docx", "A 24820-2019")</f>
        <v/>
      </c>
    </row>
    <row r="14" ht="15" customHeight="1">
      <c r="A14" t="inlineStr">
        <is>
          <t>A 51847-2019</t>
        </is>
      </c>
      <c r="B14" s="1" t="n">
        <v>43734</v>
      </c>
      <c r="C14" s="1" t="n">
        <v>45719</v>
      </c>
      <c r="D14" t="inlineStr">
        <is>
          <t>SKÅNE LÄN</t>
        </is>
      </c>
      <c r="E14" t="inlineStr">
        <is>
          <t>SJÖBO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Kamtuffmossa</t>
        </is>
      </c>
      <c r="S14">
        <f>HYPERLINK("https://klasma.github.io/Logging_1265/artfynd/A 51847-2019 artfynd.xlsx", "A 51847-2019")</f>
        <v/>
      </c>
      <c r="T14">
        <f>HYPERLINK("https://klasma.github.io/Logging_1265/kartor/A 51847-2019 karta.png", "A 51847-2019")</f>
        <v/>
      </c>
      <c r="V14">
        <f>HYPERLINK("https://klasma.github.io/Logging_1265/klagomål/A 51847-2019 FSC-klagomål.docx", "A 51847-2019")</f>
        <v/>
      </c>
      <c r="W14">
        <f>HYPERLINK("https://klasma.github.io/Logging_1265/klagomålsmail/A 51847-2019 FSC-klagomål mail.docx", "A 51847-2019")</f>
        <v/>
      </c>
      <c r="X14">
        <f>HYPERLINK("https://klasma.github.io/Logging_1265/tillsyn/A 51847-2019 tillsynsbegäran.docx", "A 51847-2019")</f>
        <v/>
      </c>
      <c r="Y14">
        <f>HYPERLINK("https://klasma.github.io/Logging_1265/tillsynsmail/A 51847-2019 tillsynsbegäran mail.docx", "A 51847-2019")</f>
        <v/>
      </c>
    </row>
    <row r="15" ht="15" customHeight="1">
      <c r="A15" t="inlineStr">
        <is>
          <t>A 59414-2019</t>
        </is>
      </c>
      <c r="B15" s="1" t="n">
        <v>43775</v>
      </c>
      <c r="C15" s="1" t="n">
        <v>45719</v>
      </c>
      <c r="D15" t="inlineStr">
        <is>
          <t>SKÅNE LÄN</t>
        </is>
      </c>
      <c r="E15" t="inlineStr">
        <is>
          <t>SJÖBO</t>
        </is>
      </c>
      <c r="G15" t="n">
        <v>5.3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59414-2019 artfynd.xlsx", "A 59414-2019")</f>
        <v/>
      </c>
      <c r="T15">
        <f>HYPERLINK("https://klasma.github.io/Logging_1265/kartor/A 59414-2019 karta.png", "A 59414-2019")</f>
        <v/>
      </c>
      <c r="V15">
        <f>HYPERLINK("https://klasma.github.io/Logging_1265/klagomål/A 59414-2019 FSC-klagomål.docx", "A 59414-2019")</f>
        <v/>
      </c>
      <c r="W15">
        <f>HYPERLINK("https://klasma.github.io/Logging_1265/klagomålsmail/A 59414-2019 FSC-klagomål mail.docx", "A 59414-2019")</f>
        <v/>
      </c>
      <c r="X15">
        <f>HYPERLINK("https://klasma.github.io/Logging_1265/tillsyn/A 59414-2019 tillsynsbegäran.docx", "A 59414-2019")</f>
        <v/>
      </c>
      <c r="Y15">
        <f>HYPERLINK("https://klasma.github.io/Logging_1265/tillsynsmail/A 59414-2019 tillsynsbegäran mail.docx", "A 59414-2019")</f>
        <v/>
      </c>
    </row>
    <row r="16" ht="15" customHeight="1">
      <c r="A16" t="inlineStr">
        <is>
          <t>A 23029-2020</t>
        </is>
      </c>
      <c r="B16" s="1" t="n">
        <v>43965</v>
      </c>
      <c r="C16" s="1" t="n">
        <v>45719</v>
      </c>
      <c r="D16" t="inlineStr">
        <is>
          <t>SKÅNE LÄN</t>
        </is>
      </c>
      <c r="E16" t="inlineStr">
        <is>
          <t>SJÖBO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HYPERLINK("https://klasma.github.io/Logging_1265/artfynd/A 23029-2020 artfynd.xlsx", "A 23029-2020")</f>
        <v/>
      </c>
      <c r="T16">
        <f>HYPERLINK("https://klasma.github.io/Logging_1265/kartor/A 23029-2020 karta.png", "A 23029-2020")</f>
        <v/>
      </c>
      <c r="V16">
        <f>HYPERLINK("https://klasma.github.io/Logging_1265/klagomål/A 23029-2020 FSC-klagomål.docx", "A 23029-2020")</f>
        <v/>
      </c>
      <c r="W16">
        <f>HYPERLINK("https://klasma.github.io/Logging_1265/klagomålsmail/A 23029-2020 FSC-klagomål mail.docx", "A 23029-2020")</f>
        <v/>
      </c>
      <c r="X16">
        <f>HYPERLINK("https://klasma.github.io/Logging_1265/tillsyn/A 23029-2020 tillsynsbegäran.docx", "A 23029-2020")</f>
        <v/>
      </c>
      <c r="Y16">
        <f>HYPERLINK("https://klasma.github.io/Logging_1265/tillsynsmail/A 23029-2020 tillsynsbegäran mail.docx", "A 23029-2020")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45719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45719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45719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45719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45719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45719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45719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45719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45719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45719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45719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45719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45719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45719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45719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45719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45719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45719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45719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45719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45719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45719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45719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45719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45719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45719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45719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45719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45719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45719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45719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45719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45719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45719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45719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45719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45719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45719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45719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45719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45719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45719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45719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45719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45719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45719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45719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45719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45719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45719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45719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45719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45719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45719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45719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45719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45719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45719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45719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45719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45719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45719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45719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45719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45719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45719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45719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45719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45719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45719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45719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45719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45719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45719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45719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45719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45719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45719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45719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45719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45719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45719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45719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45719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45719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45719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45719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45719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45719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45719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45719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45719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45719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45719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45719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45719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45719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45719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45719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45719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45719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45719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45719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45719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45719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45719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45719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45719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45719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45719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45719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45719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45719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45719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45719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45719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45719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45719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45719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45719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45719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45719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45719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45719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45719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45719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45719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45719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45719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45719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45719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45719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45719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45719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45719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45719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45719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45719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45719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45719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45719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45719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45719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45719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45719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45719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45719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45719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45719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45719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45719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45719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45719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45719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45719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45719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45719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45719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45719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45719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45719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45719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45719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45719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45719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45719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45353-2024</t>
        </is>
      </c>
      <c r="B183" s="1" t="n">
        <v>45576</v>
      </c>
      <c r="C183" s="1" t="n">
        <v>45719</v>
      </c>
      <c r="D183" t="inlineStr">
        <is>
          <t>SKÅNE LÄN</t>
        </is>
      </c>
      <c r="E183" t="inlineStr">
        <is>
          <t>SJÖBO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45348-2024</t>
        </is>
      </c>
      <c r="B184" s="1" t="n">
        <v>45576</v>
      </c>
      <c r="C184" s="1" t="n">
        <v>45719</v>
      </c>
      <c r="D184" t="inlineStr">
        <is>
          <t>SKÅNE LÄN</t>
        </is>
      </c>
      <c r="E184" t="inlineStr">
        <is>
          <t>SJÖBO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47912-2024</t>
        </is>
      </c>
      <c r="B185" s="1" t="n">
        <v>45589</v>
      </c>
      <c r="C185" s="1" t="n">
        <v>45719</v>
      </c>
      <c r="D185" t="inlineStr">
        <is>
          <t>SKÅNE LÄN</t>
        </is>
      </c>
      <c r="E185" t="inlineStr">
        <is>
          <t>SJÖBO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49751-2024</t>
        </is>
      </c>
      <c r="B186" s="1" t="n">
        <v>45597</v>
      </c>
      <c r="C186" s="1" t="n">
        <v>45719</v>
      </c>
      <c r="D186" t="inlineStr">
        <is>
          <t>SKÅNE LÄN</t>
        </is>
      </c>
      <c r="E186" t="inlineStr">
        <is>
          <t>SJÖBO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49749-2024</t>
        </is>
      </c>
      <c r="B187" s="1" t="n">
        <v>45597</v>
      </c>
      <c r="C187" s="1" t="n">
        <v>45719</v>
      </c>
      <c r="D187" t="inlineStr">
        <is>
          <t>SKÅNE LÄN</t>
        </is>
      </c>
      <c r="E187" t="inlineStr">
        <is>
          <t>SJÖBO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49750-2024</t>
        </is>
      </c>
      <c r="B188" s="1" t="n">
        <v>45597</v>
      </c>
      <c r="C188" s="1" t="n">
        <v>45719</v>
      </c>
      <c r="D188" t="inlineStr">
        <is>
          <t>SKÅNE LÄN</t>
        </is>
      </c>
      <c r="E188" t="inlineStr">
        <is>
          <t>SJÖBO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51153-2024</t>
        </is>
      </c>
      <c r="B189" s="1" t="n">
        <v>45603</v>
      </c>
      <c r="C189" s="1" t="n">
        <v>45719</v>
      </c>
      <c r="D189" t="inlineStr">
        <is>
          <t>SKÅNE LÄN</t>
        </is>
      </c>
      <c r="E189" t="inlineStr">
        <is>
          <t>SJÖBO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52959-2024</t>
        </is>
      </c>
      <c r="B190" s="1" t="n">
        <v>45611</v>
      </c>
      <c r="C190" s="1" t="n">
        <v>45719</v>
      </c>
      <c r="D190" t="inlineStr">
        <is>
          <t>SKÅNE LÄN</t>
        </is>
      </c>
      <c r="E190" t="inlineStr">
        <is>
          <t>SJÖBO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52958-2024</t>
        </is>
      </c>
      <c r="B191" s="1" t="n">
        <v>45611</v>
      </c>
      <c r="C191" s="1" t="n">
        <v>45719</v>
      </c>
      <c r="D191" t="inlineStr">
        <is>
          <t>SKÅNE LÄN</t>
        </is>
      </c>
      <c r="E191" t="inlineStr">
        <is>
          <t>SJÖBO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54303-2024</t>
        </is>
      </c>
      <c r="B192" s="1" t="n">
        <v>45617</v>
      </c>
      <c r="C192" s="1" t="n">
        <v>45719</v>
      </c>
      <c r="D192" t="inlineStr">
        <is>
          <t>SKÅNE LÄN</t>
        </is>
      </c>
      <c r="E192" t="inlineStr">
        <is>
          <t>SJÖBO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56947-2024</t>
        </is>
      </c>
      <c r="B193" s="1" t="n">
        <v>45628</v>
      </c>
      <c r="C193" s="1" t="n">
        <v>45719</v>
      </c>
      <c r="D193" t="inlineStr">
        <is>
          <t>SKÅNE LÄN</t>
        </is>
      </c>
      <c r="E193" t="inlineStr">
        <is>
          <t>SJÖBO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60947-2024</t>
        </is>
      </c>
      <c r="B194" s="1" t="n">
        <v>45645</v>
      </c>
      <c r="C194" s="1" t="n">
        <v>45719</v>
      </c>
      <c r="D194" t="inlineStr">
        <is>
          <t>SKÅNE LÄN</t>
        </is>
      </c>
      <c r="E194" t="inlineStr">
        <is>
          <t>SJÖBO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1098-2025</t>
        </is>
      </c>
      <c r="B195" s="1" t="n">
        <v>45666</v>
      </c>
      <c r="C195" s="1" t="n">
        <v>45719</v>
      </c>
      <c r="D195" t="inlineStr">
        <is>
          <t>SKÅNE LÄN</t>
        </is>
      </c>
      <c r="E195" t="inlineStr">
        <is>
          <t>SJÖBO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1031-2025</t>
        </is>
      </c>
      <c r="B196" s="1" t="n">
        <v>45666</v>
      </c>
      <c r="C196" s="1" t="n">
        <v>45719</v>
      </c>
      <c r="D196" t="inlineStr">
        <is>
          <t>SKÅNE LÄN</t>
        </is>
      </c>
      <c r="E196" t="inlineStr">
        <is>
          <t>SJÖBO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1846-2025</t>
        </is>
      </c>
      <c r="B197" s="1" t="n">
        <v>45671</v>
      </c>
      <c r="C197" s="1" t="n">
        <v>45719</v>
      </c>
      <c r="D197" t="inlineStr">
        <is>
          <t>SKÅNE LÄN</t>
        </is>
      </c>
      <c r="E197" t="inlineStr">
        <is>
          <t>SJÖBO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1858-2025</t>
        </is>
      </c>
      <c r="B198" s="1" t="n">
        <v>45671</v>
      </c>
      <c r="C198" s="1" t="n">
        <v>45719</v>
      </c>
      <c r="D198" t="inlineStr">
        <is>
          <t>SKÅNE LÄN</t>
        </is>
      </c>
      <c r="E198" t="inlineStr">
        <is>
          <t>SJÖBO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1865-2025</t>
        </is>
      </c>
      <c r="B199" s="1" t="n">
        <v>45671</v>
      </c>
      <c r="C199" s="1" t="n">
        <v>45719</v>
      </c>
      <c r="D199" t="inlineStr">
        <is>
          <t>SKÅNE LÄN</t>
        </is>
      </c>
      <c r="E199" t="inlineStr">
        <is>
          <t>SJÖBO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1879-2025</t>
        </is>
      </c>
      <c r="B200" s="1" t="n">
        <v>45671</v>
      </c>
      <c r="C200" s="1" t="n">
        <v>45719</v>
      </c>
      <c r="D200" t="inlineStr">
        <is>
          <t>SKÅNE LÄN</t>
        </is>
      </c>
      <c r="E200" t="inlineStr">
        <is>
          <t>SJÖBO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5444-2025</t>
        </is>
      </c>
      <c r="B201" s="1" t="n">
        <v>45692</v>
      </c>
      <c r="C201" s="1" t="n">
        <v>45719</v>
      </c>
      <c r="D201" t="inlineStr">
        <is>
          <t>SKÅNE LÄN</t>
        </is>
      </c>
      <c r="E201" t="inlineStr">
        <is>
          <t>SJÖBO</t>
        </is>
      </c>
      <c r="F201" t="inlineStr">
        <is>
          <t>Övriga Aktiebolag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7059-2025</t>
        </is>
      </c>
      <c r="B202" s="1" t="n">
        <v>45701</v>
      </c>
      <c r="C202" s="1" t="n">
        <v>45719</v>
      </c>
      <c r="D202" t="inlineStr">
        <is>
          <t>SKÅNE LÄN</t>
        </is>
      </c>
      <c r="E202" t="inlineStr">
        <is>
          <t>SJÖBO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8861-2025</t>
        </is>
      </c>
      <c r="B203" s="1" t="n">
        <v>45713</v>
      </c>
      <c r="C203" s="1" t="n">
        <v>45719</v>
      </c>
      <c r="D203" t="inlineStr">
        <is>
          <t>SKÅNE LÄN</t>
        </is>
      </c>
      <c r="E203" t="inlineStr">
        <is>
          <t>SJÖBO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8859-2025</t>
        </is>
      </c>
      <c r="B204" s="1" t="n">
        <v>45713</v>
      </c>
      <c r="C204" s="1" t="n">
        <v>45719</v>
      </c>
      <c r="D204" t="inlineStr">
        <is>
          <t>SKÅNE LÄN</t>
        </is>
      </c>
      <c r="E204" t="inlineStr">
        <is>
          <t>SJÖBO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8863-2025</t>
        </is>
      </c>
      <c r="B205" s="1" t="n">
        <v>45713</v>
      </c>
      <c r="C205" s="1" t="n">
        <v>45719</v>
      </c>
      <c r="D205" t="inlineStr">
        <is>
          <t>SKÅNE LÄN</t>
        </is>
      </c>
      <c r="E205" t="inlineStr">
        <is>
          <t>SJÖBO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8858-2025</t>
        </is>
      </c>
      <c r="B206" s="1" t="n">
        <v>45713</v>
      </c>
      <c r="C206" s="1" t="n">
        <v>45719</v>
      </c>
      <c r="D206" t="inlineStr">
        <is>
          <t>SKÅNE LÄN</t>
        </is>
      </c>
      <c r="E206" t="inlineStr">
        <is>
          <t>SJÖBO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8862-2025</t>
        </is>
      </c>
      <c r="B207" s="1" t="n">
        <v>45713</v>
      </c>
      <c r="C207" s="1" t="n">
        <v>45719</v>
      </c>
      <c r="D207" t="inlineStr">
        <is>
          <t>SKÅNE LÄN</t>
        </is>
      </c>
      <c r="E207" t="inlineStr">
        <is>
          <t>SJÖBO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9077-2025</t>
        </is>
      </c>
      <c r="B208" s="1" t="n">
        <v>45713</v>
      </c>
      <c r="C208" s="1" t="n">
        <v>45719</v>
      </c>
      <c r="D208" t="inlineStr">
        <is>
          <t>SKÅNE LÄN</t>
        </is>
      </c>
      <c r="E208" t="inlineStr">
        <is>
          <t>SJÖBO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>
      <c r="A209" t="inlineStr">
        <is>
          <t>A 9078-2025</t>
        </is>
      </c>
      <c r="B209" s="1" t="n">
        <v>45713</v>
      </c>
      <c r="C209" s="1" t="n">
        <v>45719</v>
      </c>
      <c r="D209" t="inlineStr">
        <is>
          <t>SKÅNE LÄN</t>
        </is>
      </c>
      <c r="E209" t="inlineStr">
        <is>
          <t>SJÖBO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2025-03-03T20:08:59Z</dcterms:created>
  <dcterms:modified xmlns:dcterms="http://purl.org/dc/terms/" xmlns:xsi="http://www.w3.org/2001/XMLSchema-instance" xsi:type="dcterms:W3CDTF">2025-03-03T20:08:59Z</dcterms:modified>
</cp:coreProperties>
</file>