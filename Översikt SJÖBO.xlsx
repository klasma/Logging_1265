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45586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45586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45586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45586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45586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45586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45586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26488-2024</t>
        </is>
      </c>
      <c r="B9" s="1" t="n">
        <v>45469</v>
      </c>
      <c r="C9" s="1" t="n">
        <v>45586</v>
      </c>
      <c r="D9" t="inlineStr">
        <is>
          <t>SKÅNE LÄN</t>
        </is>
      </c>
      <c r="E9" t="inlineStr">
        <is>
          <t>SJÖBO</t>
        </is>
      </c>
      <c r="G9" t="n">
        <v>8.1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Triplax rufipes
Vanlig groda</t>
        </is>
      </c>
      <c r="S9">
        <f>HYPERLINK("https://klasma.github.io/Logging_1265/artfynd/A 26488-2024 artfynd.xlsx", "A 26488-2024")</f>
        <v/>
      </c>
      <c r="T9">
        <f>HYPERLINK("https://klasma.github.io/Logging_1265/kartor/A 26488-2024 karta.png", "A 26488-2024")</f>
        <v/>
      </c>
      <c r="V9">
        <f>HYPERLINK("https://klasma.github.io/Logging_1265/klagomål/A 26488-2024 FSC-klagomål.docx", "A 26488-2024")</f>
        <v/>
      </c>
      <c r="W9">
        <f>HYPERLINK("https://klasma.github.io/Logging_1265/klagomålsmail/A 26488-2024 FSC-klagomål mail.docx", "A 26488-2024")</f>
        <v/>
      </c>
      <c r="X9">
        <f>HYPERLINK("https://klasma.github.io/Logging_1265/tillsyn/A 26488-2024 tillsynsbegäran.docx", "A 26488-2024")</f>
        <v/>
      </c>
      <c r="Y9">
        <f>HYPERLINK("https://klasma.github.io/Logging_1265/tillsynsmail/A 26488-2024 tillsynsbegäran mail.docx", "A 26488-2024")</f>
        <v/>
      </c>
    </row>
    <row r="10" ht="15" customHeight="1">
      <c r="A10" t="inlineStr">
        <is>
          <t>A 20427-2019</t>
        </is>
      </c>
      <c r="B10" s="1" t="n">
        <v>43571</v>
      </c>
      <c r="C10" s="1" t="n">
        <v>45586</v>
      </c>
      <c r="D10" t="inlineStr">
        <is>
          <t>SKÅNE LÄN</t>
        </is>
      </c>
      <c r="E10" t="inlineStr">
        <is>
          <t>SJÖBO</t>
        </is>
      </c>
      <c r="G10" t="n">
        <v>4.5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HYPERLINK("https://klasma.github.io/Logging_1265/artfynd/A 20427-2019 artfynd.xlsx", "A 20427-2019")</f>
        <v/>
      </c>
      <c r="T10">
        <f>HYPERLINK("https://klasma.github.io/Logging_1265/kartor/A 20427-2019 karta.png", "A 20427-2019")</f>
        <v/>
      </c>
      <c r="V10">
        <f>HYPERLINK("https://klasma.github.io/Logging_1265/klagomål/A 20427-2019 FSC-klagomål.docx", "A 20427-2019")</f>
        <v/>
      </c>
      <c r="W10">
        <f>HYPERLINK("https://klasma.github.io/Logging_1265/klagomålsmail/A 20427-2019 FSC-klagomål mail.docx", "A 20427-2019")</f>
        <v/>
      </c>
      <c r="X10">
        <f>HYPERLINK("https://klasma.github.io/Logging_1265/tillsyn/A 20427-2019 tillsynsbegäran.docx", "A 20427-2019")</f>
        <v/>
      </c>
      <c r="Y10">
        <f>HYPERLINK("https://klasma.github.io/Logging_1265/tillsynsmail/A 20427-2019 tillsynsbegäran mail.docx", "A 20427-2019")</f>
        <v/>
      </c>
    </row>
    <row r="11" ht="15" customHeight="1">
      <c r="A11" t="inlineStr">
        <is>
          <t>A 24820-2019</t>
        </is>
      </c>
      <c r="B11" s="1" t="n">
        <v>43602</v>
      </c>
      <c r="C11" s="1" t="n">
        <v>45586</v>
      </c>
      <c r="D11" t="inlineStr">
        <is>
          <t>SKÅNE LÄN</t>
        </is>
      </c>
      <c r="E11" t="inlineStr">
        <is>
          <t>SJÖBO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Dvärgjohannesört</t>
        </is>
      </c>
      <c r="S11">
        <f>HYPERLINK("https://klasma.github.io/Logging_1265/artfynd/A 24820-2019 artfynd.xlsx", "A 24820-2019")</f>
        <v/>
      </c>
      <c r="T11">
        <f>HYPERLINK("https://klasma.github.io/Logging_1265/kartor/A 24820-2019 karta.png", "A 24820-2019")</f>
        <v/>
      </c>
      <c r="V11">
        <f>HYPERLINK("https://klasma.github.io/Logging_1265/klagomål/A 24820-2019 FSC-klagomål.docx", "A 24820-2019")</f>
        <v/>
      </c>
      <c r="W11">
        <f>HYPERLINK("https://klasma.github.io/Logging_1265/klagomålsmail/A 24820-2019 FSC-klagomål mail.docx", "A 24820-2019")</f>
        <v/>
      </c>
      <c r="X11">
        <f>HYPERLINK("https://klasma.github.io/Logging_1265/tillsyn/A 24820-2019 tillsynsbegäran.docx", "A 24820-2019")</f>
        <v/>
      </c>
      <c r="Y11">
        <f>HYPERLINK("https://klasma.github.io/Logging_1265/tillsynsmail/A 24820-2019 tillsynsbegäran mail.docx", "A 24820-2019")</f>
        <v/>
      </c>
    </row>
    <row r="12" ht="15" customHeight="1">
      <c r="A12" t="inlineStr">
        <is>
          <t>A 51847-2019</t>
        </is>
      </c>
      <c r="B12" s="1" t="n">
        <v>43734</v>
      </c>
      <c r="C12" s="1" t="n">
        <v>45586</v>
      </c>
      <c r="D12" t="inlineStr">
        <is>
          <t>SKÅNE LÄN</t>
        </is>
      </c>
      <c r="E12" t="inlineStr">
        <is>
          <t>SJÖBO</t>
        </is>
      </c>
      <c r="G12" t="n">
        <v>1.6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Kamtuffmossa</t>
        </is>
      </c>
      <c r="S12">
        <f>HYPERLINK("https://klasma.github.io/Logging_1265/artfynd/A 51847-2019 artfynd.xlsx", "A 51847-2019")</f>
        <v/>
      </c>
      <c r="T12">
        <f>HYPERLINK("https://klasma.github.io/Logging_1265/kartor/A 51847-2019 karta.png", "A 51847-2019")</f>
        <v/>
      </c>
      <c r="V12">
        <f>HYPERLINK("https://klasma.github.io/Logging_1265/klagomål/A 51847-2019 FSC-klagomål.docx", "A 51847-2019")</f>
        <v/>
      </c>
      <c r="W12">
        <f>HYPERLINK("https://klasma.github.io/Logging_1265/klagomålsmail/A 51847-2019 FSC-klagomål mail.docx", "A 51847-2019")</f>
        <v/>
      </c>
      <c r="X12">
        <f>HYPERLINK("https://klasma.github.io/Logging_1265/tillsyn/A 51847-2019 tillsynsbegäran.docx", "A 51847-2019")</f>
        <v/>
      </c>
      <c r="Y12">
        <f>HYPERLINK("https://klasma.github.io/Logging_1265/tillsynsmail/A 51847-2019 tillsynsbegäran mail.docx", "A 51847-2019")</f>
        <v/>
      </c>
    </row>
    <row r="13" ht="15" customHeight="1">
      <c r="A13" t="inlineStr">
        <is>
          <t>A 59414-2019</t>
        </is>
      </c>
      <c r="B13" s="1" t="n">
        <v>43775</v>
      </c>
      <c r="C13" s="1" t="n">
        <v>45586</v>
      </c>
      <c r="D13" t="inlineStr">
        <is>
          <t>SKÅNE LÄN</t>
        </is>
      </c>
      <c r="E13" t="inlineStr">
        <is>
          <t>SJÖBO</t>
        </is>
      </c>
      <c r="G13" t="n">
        <v>5.3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Fläcklungört</t>
        </is>
      </c>
      <c r="S13">
        <f>HYPERLINK("https://klasma.github.io/Logging_1265/artfynd/A 59414-2019 artfynd.xlsx", "A 59414-2019")</f>
        <v/>
      </c>
      <c r="T13">
        <f>HYPERLINK("https://klasma.github.io/Logging_1265/kartor/A 59414-2019 karta.png", "A 59414-2019")</f>
        <v/>
      </c>
      <c r="V13">
        <f>HYPERLINK("https://klasma.github.io/Logging_1265/klagomål/A 59414-2019 FSC-klagomål.docx", "A 59414-2019")</f>
        <v/>
      </c>
      <c r="W13">
        <f>HYPERLINK("https://klasma.github.io/Logging_1265/klagomålsmail/A 59414-2019 FSC-klagomål mail.docx", "A 59414-2019")</f>
        <v/>
      </c>
      <c r="X13">
        <f>HYPERLINK("https://klasma.github.io/Logging_1265/tillsyn/A 59414-2019 tillsynsbegäran.docx", "A 59414-2019")</f>
        <v/>
      </c>
      <c r="Y13">
        <f>HYPERLINK("https://klasma.github.io/Logging_1265/tillsynsmail/A 59414-2019 tillsynsbegäran mail.docx", "A 59414-2019")</f>
        <v/>
      </c>
    </row>
    <row r="14" ht="15" customHeight="1">
      <c r="A14" t="inlineStr">
        <is>
          <t>A 23029-2020</t>
        </is>
      </c>
      <c r="B14" s="1" t="n">
        <v>43965</v>
      </c>
      <c r="C14" s="1" t="n">
        <v>45586</v>
      </c>
      <c r="D14" t="inlineStr">
        <is>
          <t>SKÅNE LÄN</t>
        </is>
      </c>
      <c r="E14" t="inlineStr">
        <is>
          <t>SJÖBO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23029-2020 artfynd.xlsx", "A 23029-2020")</f>
        <v/>
      </c>
      <c r="T14">
        <f>HYPERLINK("https://klasma.github.io/Logging_1265/kartor/A 23029-2020 karta.png", "A 23029-2020")</f>
        <v/>
      </c>
      <c r="V14">
        <f>HYPERLINK("https://klasma.github.io/Logging_1265/klagomål/A 23029-2020 FSC-klagomål.docx", "A 23029-2020")</f>
        <v/>
      </c>
      <c r="W14">
        <f>HYPERLINK("https://klasma.github.io/Logging_1265/klagomålsmail/A 23029-2020 FSC-klagomål mail.docx", "A 23029-2020")</f>
        <v/>
      </c>
      <c r="X14">
        <f>HYPERLINK("https://klasma.github.io/Logging_1265/tillsyn/A 23029-2020 tillsynsbegäran.docx", "A 23029-2020")</f>
        <v/>
      </c>
      <c r="Y14">
        <f>HYPERLINK("https://klasma.github.io/Logging_1265/tillsynsmail/A 23029-2020 tillsynsbegäran mail.docx", "A 23029-2020")</f>
        <v/>
      </c>
    </row>
    <row r="15" ht="15" customHeight="1">
      <c r="A15" t="inlineStr">
        <is>
          <t>A 66175-2020</t>
        </is>
      </c>
      <c r="B15" s="1" t="n">
        <v>44174</v>
      </c>
      <c r="C15" s="1" t="n">
        <v>45586</v>
      </c>
      <c r="D15" t="inlineStr">
        <is>
          <t>SKÅNE LÄN</t>
        </is>
      </c>
      <c r="E15" t="inlineStr">
        <is>
          <t>SJÖBO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HYPERLINK("https://klasma.github.io/Logging_1265/artfynd/A 66175-2020 artfynd.xlsx", "A 66175-2020")</f>
        <v/>
      </c>
      <c r="T15">
        <f>HYPERLINK("https://klasma.github.io/Logging_1265/kartor/A 66175-2020 karta.png", "A 66175-2020")</f>
        <v/>
      </c>
      <c r="V15">
        <f>HYPERLINK("https://klasma.github.io/Logging_1265/klagomål/A 66175-2020 FSC-klagomål.docx", "A 66175-2020")</f>
        <v/>
      </c>
      <c r="W15">
        <f>HYPERLINK("https://klasma.github.io/Logging_1265/klagomålsmail/A 66175-2020 FSC-klagomål mail.docx", "A 66175-2020")</f>
        <v/>
      </c>
      <c r="X15">
        <f>HYPERLINK("https://klasma.github.io/Logging_1265/tillsyn/A 66175-2020 tillsynsbegäran.docx", "A 66175-2020")</f>
        <v/>
      </c>
      <c r="Y15">
        <f>HYPERLINK("https://klasma.github.io/Logging_1265/tillsynsmail/A 66175-2020 tillsynsbegäran mail.docx", "A 66175-2020")</f>
        <v/>
      </c>
    </row>
    <row r="16" ht="15" customHeight="1">
      <c r="A16" t="inlineStr">
        <is>
          <t>A 71055-2021</t>
        </is>
      </c>
      <c r="B16" s="1" t="n">
        <v>44538</v>
      </c>
      <c r="C16" s="1" t="n">
        <v>45586</v>
      </c>
      <c r="D16" t="inlineStr">
        <is>
          <t>SKÅNE LÄN</t>
        </is>
      </c>
      <c r="E16" t="inlineStr">
        <is>
          <t>SJÖBO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HYPERLINK("https://klasma.github.io/Logging_1265/artfynd/A 71055-2021 artfynd.xlsx", "A 71055-2021")</f>
        <v/>
      </c>
      <c r="T16">
        <f>HYPERLINK("https://klasma.github.io/Logging_1265/kartor/A 71055-2021 karta.png", "A 71055-2021")</f>
        <v/>
      </c>
      <c r="V16">
        <f>HYPERLINK("https://klasma.github.io/Logging_1265/klagomål/A 71055-2021 FSC-klagomål.docx", "A 71055-2021")</f>
        <v/>
      </c>
      <c r="W16">
        <f>HYPERLINK("https://klasma.github.io/Logging_1265/klagomålsmail/A 71055-2021 FSC-klagomål mail.docx", "A 71055-2021")</f>
        <v/>
      </c>
      <c r="X16">
        <f>HYPERLINK("https://klasma.github.io/Logging_1265/tillsyn/A 71055-2021 tillsynsbegäran.docx", "A 71055-2021")</f>
        <v/>
      </c>
      <c r="Y16">
        <f>HYPERLINK("https://klasma.github.io/Logging_1265/tillsynsmail/A 71055-2021 tillsynsbegäran mail.docx", "A 71055-2021")</f>
        <v/>
      </c>
    </row>
    <row r="17" ht="15" customHeight="1">
      <c r="A17" t="inlineStr">
        <is>
          <t>A 56294-2022</t>
        </is>
      </c>
      <c r="B17" s="1" t="n">
        <v>44887</v>
      </c>
      <c r="C17" s="1" t="n">
        <v>45586</v>
      </c>
      <c r="D17" t="inlineStr">
        <is>
          <t>SKÅNE LÄN</t>
        </is>
      </c>
      <c r="E17" t="inlineStr">
        <is>
          <t>SJÖBO</t>
        </is>
      </c>
      <c r="G17" t="n">
        <v>4.6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HYPERLINK("https://klasma.github.io/Logging_1265/artfynd/A 56294-2022 artfynd.xlsx", "A 56294-2022")</f>
        <v/>
      </c>
      <c r="T17">
        <f>HYPERLINK("https://klasma.github.io/Logging_1265/kartor/A 56294-2022 karta.png", "A 56294-2022")</f>
        <v/>
      </c>
      <c r="V17">
        <f>HYPERLINK("https://klasma.github.io/Logging_1265/klagomål/A 56294-2022 FSC-klagomål.docx", "A 56294-2022")</f>
        <v/>
      </c>
      <c r="W17">
        <f>HYPERLINK("https://klasma.github.io/Logging_1265/klagomålsmail/A 56294-2022 FSC-klagomål mail.docx", "A 56294-2022")</f>
        <v/>
      </c>
      <c r="X17">
        <f>HYPERLINK("https://klasma.github.io/Logging_1265/tillsyn/A 56294-2022 tillsynsbegäran.docx", "A 56294-2022")</f>
        <v/>
      </c>
      <c r="Y17">
        <f>HYPERLINK("https://klasma.github.io/Logging_1265/tillsynsmail/A 56294-2022 tillsynsbegäran mail.docx", "A 56294-2022")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45586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45586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45586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45586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45586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45586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45586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45586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45586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45586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45586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45586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45586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45586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45586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45586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45586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45586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45586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45586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45586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45586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45586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45586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45586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45586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45586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45586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45586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45586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45586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45586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45586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45586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45586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45586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45586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45586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45586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45586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45586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45586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45586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45586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45586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45586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45586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45586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45586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45586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45586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45586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45586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45586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45586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45586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45586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45586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45586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45586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45586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45586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45586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45586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45586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45586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45586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45586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45586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45586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45586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45586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45586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45586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45586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45586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45586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45586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45586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45586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45586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45586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45586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45586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45586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45586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45586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45586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45586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45586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45586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45586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45586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45586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45586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45586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45586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45586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45586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45586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45586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45586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45586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45586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45586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45586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45586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45586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45586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45586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45586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45586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45586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45586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45586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45586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45586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45586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45586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45586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45586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45586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45586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45586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45586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45586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45586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45586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45586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45586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45586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45586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45586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45586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45586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45586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45586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45586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45586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45586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45586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45586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45586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45586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45586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45586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45586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45586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45586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45586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45586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45586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45586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45586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45586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45586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45586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45586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45586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45586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45586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45586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45586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45586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45586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45348-2024</t>
        </is>
      </c>
      <c r="B183" s="1" t="n">
        <v>45576</v>
      </c>
      <c r="C183" s="1" t="n">
        <v>45586</v>
      </c>
      <c r="D183" t="inlineStr">
        <is>
          <t>SKÅNE LÄN</t>
        </is>
      </c>
      <c r="E183" t="inlineStr">
        <is>
          <t>SJÖBO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45353-2024</t>
        </is>
      </c>
      <c r="B184" s="1" t="n">
        <v>45576</v>
      </c>
      <c r="C184" s="1" t="n">
        <v>45586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2024-10-21T12:51:20Z</dcterms:created>
  <dcterms:modified xmlns:dcterms="http://purl.org/dc/terms/" xmlns:xsi="http://www.w3.org/2001/XMLSchema-instance" xsi:type="dcterms:W3CDTF">2024-10-21T12:51:20Z</dcterms:modified>
</cp:coreProperties>
</file>