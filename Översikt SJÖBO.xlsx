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46255</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46255</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46255</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46255</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46255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46255</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46255</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46255</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46255</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46255</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46255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46255</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46255</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46255</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46255</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46255</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46255</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46255</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59610-2023</t>
        </is>
      </c>
      <c r="B28" t="inlineStr">
        <is>
          <t>avverkningsanmälan</t>
        </is>
      </c>
      <c r="C28" t="inlineStr">
        <is>
          <t>Föryngringsavverkning</t>
        </is>
      </c>
      <c r="D28" s="1" t="n">
        <v>45253</v>
      </c>
      <c r="E28" s="1" t="n">
        <v>46255</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27230-2024</t>
        </is>
      </c>
      <c r="B29" t="inlineStr">
        <is>
          <t>avverkningsanmälan</t>
        </is>
      </c>
      <c r="C29" t="inlineStr">
        <is>
          <t>Föryngringsavverkning</t>
        </is>
      </c>
      <c r="D29" s="1" t="n">
        <v>45471</v>
      </c>
      <c r="E29" s="1" t="n">
        <v>46255</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24421-2026</t>
        </is>
      </c>
      <c r="B30" t="inlineStr">
        <is>
          <t>avverkningsanmälan</t>
        </is>
      </c>
      <c r="C30" t="inlineStr">
        <is>
          <t>Föryngringsavverkning</t>
        </is>
      </c>
      <c r="D30" s="1" t="n">
        <v>46169</v>
      </c>
      <c r="E30" s="1" t="n">
        <v>46255</v>
      </c>
      <c r="F30" t="inlineStr">
        <is>
          <t>SKÅNE LÄN</t>
        </is>
      </c>
      <c r="G30" t="inlineStr">
        <is>
          <t>SJÖBO</t>
        </is>
      </c>
      <c r="I30" t="n">
        <v>3</v>
      </c>
      <c r="J30" t="n">
        <v>0</v>
      </c>
      <c r="K30" t="n">
        <v>0</v>
      </c>
      <c r="L30" t="n">
        <v>0</v>
      </c>
      <c r="M30" t="n">
        <v>1</v>
      </c>
      <c r="N30" t="n">
        <v>0</v>
      </c>
      <c r="O30" t="n">
        <v>0</v>
      </c>
      <c r="P30" t="n">
        <v>0</v>
      </c>
      <c r="Q30" t="n">
        <v>1</v>
      </c>
      <c r="R30" t="n">
        <v>1</v>
      </c>
      <c r="S30" t="n">
        <v>1</v>
      </c>
      <c r="T30" t="n">
        <v>1</v>
      </c>
      <c r="U30" t="n">
        <v>0</v>
      </c>
      <c r="V30" s="2" t="inlineStr">
        <is>
          <t>Skogskorn</t>
        </is>
      </c>
      <c r="W30">
        <f>HYPERLINK("https://klasma.github.io/Logging_1265/artfynd/A 24421-2026 artfynd.xlsx", "A 24421-2026")</f>
        <v/>
      </c>
      <c r="X30">
        <f>HYPERLINK("https://klasma.github.io/Logging_1265/kartor/A 24421-2026 karta.png", "A 24421-2026")</f>
        <v/>
      </c>
      <c r="Y30">
        <f>HYPERLINK("https://klasma.github.io/Logging_1265/kartor_geotiff/A 24421-2026 georefererad karta.tif", "A 24421-2026")</f>
        <v/>
      </c>
      <c r="AA30">
        <f>HYPERLINK("https://klasma.github.io/Logging_1265/klagomål/A 24421-2026 FSC-klagomål.docx", "A 24421-2026")</f>
        <v/>
      </c>
      <c r="AB30">
        <f>HYPERLINK("https://klasma.github.io/Logging_1265/klagomålsmail/A 24421-2026 FSC-klagomål mail.docx", "A 24421-2026")</f>
        <v/>
      </c>
      <c r="AC30">
        <f>HYPERLINK("https://klasma.github.io/Logging_1265/tillsyn/A 24421-2026 tillsynsbegäran.docx", "A 24421-2026")</f>
        <v/>
      </c>
      <c r="AD30">
        <f>HYPERLINK("https://klasma.github.io/Logging_1265/tillsynsmail/A 24421-2026 tillsynsbegäran mail.docx", "A 24421-2026")</f>
        <v/>
      </c>
    </row>
    <row r="31" ht="15" customHeight="1">
      <c r="A31" t="inlineStr">
        <is>
          <t>A 21425-2022</t>
        </is>
      </c>
      <c r="B31" t="inlineStr">
        <is>
          <t>avverkningsanmälan</t>
        </is>
      </c>
      <c r="C31" t="inlineStr">
        <is>
          <t>Föryngringsavverkning</t>
        </is>
      </c>
      <c r="D31" s="1" t="n">
        <v>44706</v>
      </c>
      <c r="E31" s="1" t="n">
        <v>46255</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3765-2026</t>
        </is>
      </c>
      <c r="B32" t="inlineStr">
        <is>
          <t>avverkningsanmälan</t>
        </is>
      </c>
      <c r="C32" t="inlineStr">
        <is>
          <t>Föryngringsavverkning</t>
        </is>
      </c>
      <c r="D32" s="1" t="n">
        <v>46043</v>
      </c>
      <c r="E32" s="1" t="n">
        <v>46255</v>
      </c>
      <c r="F32" t="inlineStr">
        <is>
          <t>SKÅNE LÄN</t>
        </is>
      </c>
      <c r="G32" t="inlineStr">
        <is>
          <t>SJÖBO</t>
        </is>
      </c>
      <c r="I32" t="n">
        <v>5.6</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3765-2026 artfynd.xlsx", "A 3765-2026")</f>
        <v/>
      </c>
      <c r="X32">
        <f>HYPERLINK("https://klasma.github.io/Logging_1265/kartor/A 3765-2026 karta.png", "A 3765-2026")</f>
        <v/>
      </c>
      <c r="Y32">
        <f>HYPERLINK("https://klasma.github.io/Logging_1265/kartor_geotiff/A 3765-2026 georefererad karta.tif", "A 3765-2026")</f>
        <v/>
      </c>
      <c r="AA32">
        <f>HYPERLINK("https://klasma.github.io/Logging_1265/klagomål/A 3765-2026 FSC-klagomål.docx", "A 3765-2026")</f>
        <v/>
      </c>
      <c r="AB32">
        <f>HYPERLINK("https://klasma.github.io/Logging_1265/klagomålsmail/A 3765-2026 FSC-klagomål mail.docx", "A 3765-2026")</f>
        <v/>
      </c>
      <c r="AC32">
        <f>HYPERLINK("https://klasma.github.io/Logging_1265/tillsyn/A 3765-2026 tillsynsbegäran.docx", "A 3765-2026")</f>
        <v/>
      </c>
      <c r="AD32">
        <f>HYPERLINK("https://klasma.github.io/Logging_1265/tillsynsmail/A 3765-2026 tillsynsbegäran mail.docx", "A 3765-2026")</f>
        <v/>
      </c>
    </row>
    <row r="33" ht="15" customHeight="1">
      <c r="A33" t="inlineStr">
        <is>
          <t>A 8150-2024</t>
        </is>
      </c>
      <c r="B33" t="inlineStr">
        <is>
          <t>avverkningsanmälan</t>
        </is>
      </c>
      <c r="C33" t="inlineStr">
        <is>
          <t>Föryngringsavverkning</t>
        </is>
      </c>
      <c r="D33" s="1" t="n">
        <v>45351</v>
      </c>
      <c r="E33" s="1" t="n">
        <v>46255</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46255</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46255</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46255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46255</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46255</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46255</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46255</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46255</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46255</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46255</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44498-2021</t>
        </is>
      </c>
      <c r="B46" t="inlineStr">
        <is>
          <t>avverkningsanmälan</t>
        </is>
      </c>
      <c r="C46" t="inlineStr">
        <is>
          <t>Föryngringsavverkning</t>
        </is>
      </c>
      <c r="D46" s="1" t="n">
        <v>44435</v>
      </c>
      <c r="E46" s="1" t="n">
        <v>46255</v>
      </c>
      <c r="F46" t="inlineStr">
        <is>
          <t>SKÅNE LÄN</t>
        </is>
      </c>
      <c r="G46" t="inlineStr">
        <is>
          <t>SJÖBO</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8858-2025</t>
        </is>
      </c>
      <c r="B47" t="inlineStr">
        <is>
          <t>avverkningsanmälan</t>
        </is>
      </c>
      <c r="C47" t="inlineStr">
        <is>
          <t>Föryngringsavverkning</t>
        </is>
      </c>
      <c r="D47" s="1" t="n">
        <v>45713</v>
      </c>
      <c r="E47" s="1" t="n">
        <v>46255</v>
      </c>
      <c r="F47" t="inlineStr">
        <is>
          <t>SKÅNE LÄN</t>
        </is>
      </c>
      <c r="G47" t="inlineStr">
        <is>
          <t>SJÖBO</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32732-2022</t>
        </is>
      </c>
      <c r="B48" t="inlineStr">
        <is>
          <t>avverkningsanmälan</t>
        </is>
      </c>
      <c r="C48" t="inlineStr">
        <is>
          <t>Föryngringsavverkning</t>
        </is>
      </c>
      <c r="D48" s="1" t="n">
        <v>44783</v>
      </c>
      <c r="E48" s="1" t="n">
        <v>46255</v>
      </c>
      <c r="F48" t="inlineStr">
        <is>
          <t>SKÅNE LÄN</t>
        </is>
      </c>
      <c r="G48" t="inlineStr">
        <is>
          <t>SJÖBO</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48026-2021</t>
        </is>
      </c>
      <c r="B49" t="inlineStr">
        <is>
          <t>avverkningsanmälan</t>
        </is>
      </c>
      <c r="C49" t="inlineStr">
        <is>
          <t>Föryngringsavverkning</t>
        </is>
      </c>
      <c r="D49" s="1" t="n">
        <v>44449</v>
      </c>
      <c r="E49" s="1" t="n">
        <v>46255</v>
      </c>
      <c r="F49" t="inlineStr">
        <is>
          <t>SKÅNE LÄN</t>
        </is>
      </c>
      <c r="G49" t="inlineStr">
        <is>
          <t>SJÖBO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19883-2024</t>
        </is>
      </c>
      <c r="B50" t="inlineStr">
        <is>
          <t>avverkningsanmälan</t>
        </is>
      </c>
      <c r="C50" t="inlineStr">
        <is>
          <t>Föryngringsavverkning</t>
        </is>
      </c>
      <c r="D50" s="1" t="n">
        <v>45433</v>
      </c>
      <c r="E50" s="1" t="n">
        <v>46255</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19888-2024</t>
        </is>
      </c>
      <c r="B51" t="inlineStr">
        <is>
          <t>avverkningsanmälan</t>
        </is>
      </c>
      <c r="C51" t="inlineStr">
        <is>
          <t>Föryngringsavverkning</t>
        </is>
      </c>
      <c r="D51" s="1" t="n">
        <v>45433</v>
      </c>
      <c r="E51" s="1" t="n">
        <v>46255</v>
      </c>
      <c r="F51" t="inlineStr">
        <is>
          <t>SKÅNE LÄN</t>
        </is>
      </c>
      <c r="G51" t="inlineStr">
        <is>
          <t>SJÖBO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61875-2023</t>
        </is>
      </c>
      <c r="B52" t="inlineStr">
        <is>
          <t>avverkningsanmälan</t>
        </is>
      </c>
      <c r="C52" t="inlineStr">
        <is>
          <t>Föryngringsavverkning</t>
        </is>
      </c>
      <c r="D52" s="1" t="n">
        <v>45265</v>
      </c>
      <c r="E52" s="1" t="n">
        <v>46255</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60778-2023</t>
        </is>
      </c>
      <c r="B53" t="inlineStr">
        <is>
          <t>avverkningsanmälan</t>
        </is>
      </c>
      <c r="C53" t="inlineStr">
        <is>
          <t>Föryngringsavverkning</t>
        </is>
      </c>
      <c r="D53" s="1" t="n">
        <v>45260</v>
      </c>
      <c r="E53" s="1" t="n">
        <v>46255</v>
      </c>
      <c r="F53" t="inlineStr">
        <is>
          <t>SKÅNE LÄN</t>
        </is>
      </c>
      <c r="G53" t="inlineStr">
        <is>
          <t>SJÖBO</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1235-2022</t>
        </is>
      </c>
      <c r="B54" t="inlineStr">
        <is>
          <t>avverkningsanmälan</t>
        </is>
      </c>
      <c r="C54" t="inlineStr">
        <is>
          <t>Föryngringsavverkning</t>
        </is>
      </c>
      <c r="D54" s="1" t="n">
        <v>44572</v>
      </c>
      <c r="E54" s="1" t="n">
        <v>46255</v>
      </c>
      <c r="F54" t="inlineStr">
        <is>
          <t>SKÅNE LÄN</t>
        </is>
      </c>
      <c r="G54" t="inlineStr">
        <is>
          <t>SJÖBO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54959-2022</t>
        </is>
      </c>
      <c r="B55" t="inlineStr">
        <is>
          <t>avverkningsanmälan</t>
        </is>
      </c>
      <c r="C55" t="inlineStr">
        <is>
          <t>Föryngringsavverkning</t>
        </is>
      </c>
      <c r="D55" s="1" t="n">
        <v>44886</v>
      </c>
      <c r="E55" s="1" t="n">
        <v>46255</v>
      </c>
      <c r="F55" t="inlineStr">
        <is>
          <t>SKÅNE LÄN</t>
        </is>
      </c>
      <c r="G55" t="inlineStr">
        <is>
          <t>SJÖBO</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29821-2025</t>
        </is>
      </c>
      <c r="B56" t="inlineStr">
        <is>
          <t>avverkningsanmälan</t>
        </is>
      </c>
      <c r="C56" t="inlineStr">
        <is>
          <t>Föryngringsavverkning</t>
        </is>
      </c>
      <c r="D56" s="1" t="n">
        <v>45825</v>
      </c>
      <c r="E56" s="1" t="n">
        <v>46255</v>
      </c>
      <c r="F56" t="inlineStr">
        <is>
          <t>SKÅNE LÄN</t>
        </is>
      </c>
      <c r="G56" t="inlineStr">
        <is>
          <t>SJÖBO</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30453-2025</t>
        </is>
      </c>
      <c r="B57" t="inlineStr">
        <is>
          <t>avverkningsanmälan</t>
        </is>
      </c>
      <c r="C57" t="inlineStr">
        <is>
          <t>Föryngringsavverkning</t>
        </is>
      </c>
      <c r="D57" s="1" t="n">
        <v>45827</v>
      </c>
      <c r="E57" s="1" t="n">
        <v>46255</v>
      </c>
      <c r="F57" t="inlineStr">
        <is>
          <t>SKÅNE LÄN</t>
        </is>
      </c>
      <c r="G57" t="inlineStr">
        <is>
          <t>SJÖBO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16979-2025</t>
        </is>
      </c>
      <c r="B58" t="inlineStr">
        <is>
          <t>avverkningsanmälan</t>
        </is>
      </c>
      <c r="C58" t="inlineStr">
        <is>
          <t>Föryngringsavverkning</t>
        </is>
      </c>
      <c r="D58" s="1" t="n">
        <v>45755</v>
      </c>
      <c r="E58" s="1" t="n">
        <v>46255</v>
      </c>
      <c r="F58" t="inlineStr">
        <is>
          <t>SKÅNE LÄN</t>
        </is>
      </c>
      <c r="G58" t="inlineStr">
        <is>
          <t>SJÖBO</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11500-2024</t>
        </is>
      </c>
      <c r="B59" t="inlineStr">
        <is>
          <t>avverkningsanmälan</t>
        </is>
      </c>
      <c r="C59" t="inlineStr">
        <is>
          <t>Föryngringsavverkning</t>
        </is>
      </c>
      <c r="D59" s="1" t="n">
        <v>45372</v>
      </c>
      <c r="E59" s="1" t="n">
        <v>46255</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36414-2023</t>
        </is>
      </c>
      <c r="B60" t="inlineStr">
        <is>
          <t>avverkningsanmälan</t>
        </is>
      </c>
      <c r="C60" t="inlineStr">
        <is>
          <t>Föryngringsavverkning</t>
        </is>
      </c>
      <c r="D60" s="1" t="n">
        <v>45152</v>
      </c>
      <c r="E60" s="1" t="n">
        <v>46255</v>
      </c>
      <c r="F60" t="inlineStr">
        <is>
          <t>SKÅNE LÄN</t>
        </is>
      </c>
      <c r="G60" t="inlineStr">
        <is>
          <t>SJÖBO</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46255</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34173-2025</t>
        </is>
      </c>
      <c r="B62" t="inlineStr">
        <is>
          <t>avverkningsanmälan</t>
        </is>
      </c>
      <c r="C62" t="inlineStr">
        <is>
          <t>Föryngringsavverkning</t>
        </is>
      </c>
      <c r="D62" s="1" t="n">
        <v>45845</v>
      </c>
      <c r="E62" s="1" t="n">
        <v>46255</v>
      </c>
      <c r="F62" t="inlineStr">
        <is>
          <t>SKÅNE LÄN</t>
        </is>
      </c>
      <c r="G62" t="inlineStr">
        <is>
          <t>SJÖBO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45348-2024</t>
        </is>
      </c>
      <c r="B63" t="inlineStr">
        <is>
          <t>avverkningsanmälan</t>
        </is>
      </c>
      <c r="C63" t="inlineStr">
        <is>
          <t>Föryngringsavverkning</t>
        </is>
      </c>
      <c r="D63" s="1" t="n">
        <v>45576</v>
      </c>
      <c r="E63" s="1" t="n">
        <v>46255</v>
      </c>
      <c r="F63" t="inlineStr">
        <is>
          <t>SKÅNE LÄN</t>
        </is>
      </c>
      <c r="G63" t="inlineStr">
        <is>
          <t>SJÖBO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1879-2025</t>
        </is>
      </c>
      <c r="B64" t="inlineStr">
        <is>
          <t>avverkningsanmälan</t>
        </is>
      </c>
      <c r="C64" t="inlineStr">
        <is>
          <t>Föryngringsavverkning</t>
        </is>
      </c>
      <c r="D64" s="1" t="n">
        <v>45671</v>
      </c>
      <c r="E64" s="1" t="n">
        <v>46255</v>
      </c>
      <c r="F64" t="inlineStr">
        <is>
          <t>SKÅNE LÄN</t>
        </is>
      </c>
      <c r="G64" t="inlineStr">
        <is>
          <t>SJÖBO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34780-2025</t>
        </is>
      </c>
      <c r="B65" t="inlineStr">
        <is>
          <t>avverkningsanmälan</t>
        </is>
      </c>
      <c r="C65" t="inlineStr">
        <is>
          <t>Avverkning för annat ändamål</t>
        </is>
      </c>
      <c r="D65" s="1" t="n">
        <v>45848</v>
      </c>
      <c r="E65" s="1" t="n">
        <v>46255</v>
      </c>
      <c r="F65" t="inlineStr">
        <is>
          <t>SKÅNE LÄN</t>
        </is>
      </c>
      <c r="G65" t="inlineStr">
        <is>
          <t>SJÖBO</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4663-2026</t>
        </is>
      </c>
      <c r="B66" t="inlineStr">
        <is>
          <t>avverkningsanmälan</t>
        </is>
      </c>
      <c r="C66" t="inlineStr">
        <is>
          <t>Föryngringsavverkning</t>
        </is>
      </c>
      <c r="D66" s="1" t="n">
        <v>46048</v>
      </c>
      <c r="E66" s="1" t="n">
        <v>46255</v>
      </c>
      <c r="F66" t="inlineStr">
        <is>
          <t>SKÅNE LÄN</t>
        </is>
      </c>
      <c r="G66" t="inlineStr">
        <is>
          <t>SJÖBO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62798-2025</t>
        </is>
      </c>
      <c r="B67" t="inlineStr">
        <is>
          <t>avverkningsanmälan</t>
        </is>
      </c>
      <c r="C67" t="inlineStr">
        <is>
          <t>Föryngringsavverkning</t>
        </is>
      </c>
      <c r="D67" s="1" t="n">
        <v>46008</v>
      </c>
      <c r="E67" s="1" t="n">
        <v>46255</v>
      </c>
      <c r="F67" t="inlineStr">
        <is>
          <t>SKÅNE LÄN</t>
        </is>
      </c>
      <c r="G67" t="inlineStr">
        <is>
          <t>SJÖBO</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19880-2024</t>
        </is>
      </c>
      <c r="B68" t="inlineStr">
        <is>
          <t>avverkningsanmälan</t>
        </is>
      </c>
      <c r="C68" t="inlineStr">
        <is>
          <t>Föryngringsavverkning</t>
        </is>
      </c>
      <c r="D68" s="1" t="n">
        <v>45433</v>
      </c>
      <c r="E68" s="1" t="n">
        <v>46255</v>
      </c>
      <c r="F68" t="inlineStr">
        <is>
          <t>SKÅNE LÄN</t>
        </is>
      </c>
      <c r="G68" t="inlineStr">
        <is>
          <t>SJÖBO</t>
        </is>
      </c>
      <c r="I68" t="n">
        <v>6.5</v>
      </c>
      <c r="J68" t="n">
        <v>0</v>
      </c>
      <c r="K68" t="n">
        <v>0</v>
      </c>
      <c r="L68" t="n">
        <v>0</v>
      </c>
      <c r="M68" t="n">
        <v>0</v>
      </c>
      <c r="N68" t="n">
        <v>0</v>
      </c>
      <c r="O68" t="n">
        <v>0</v>
      </c>
      <c r="P68" t="n">
        <v>0</v>
      </c>
      <c r="Q68" t="n">
        <v>0</v>
      </c>
      <c r="R68" t="n">
        <v>0</v>
      </c>
      <c r="S68" t="n">
        <v>0</v>
      </c>
      <c r="T68" t="n">
        <v>0</v>
      </c>
      <c r="U68" t="n">
        <v>0</v>
      </c>
      <c r="V68" s="2" t="inlineStr"/>
    </row>
    <row r="69" ht="15" customHeight="1">
      <c r="A69" t="inlineStr">
        <is>
          <t>A 1846-2025</t>
        </is>
      </c>
      <c r="B69" t="inlineStr">
        <is>
          <t>avverkningsanmälan</t>
        </is>
      </c>
      <c r="C69" t="inlineStr">
        <is>
          <t>Föryngringsavverkning</t>
        </is>
      </c>
      <c r="D69" s="1" t="n">
        <v>45671</v>
      </c>
      <c r="E69" s="1" t="n">
        <v>46255</v>
      </c>
      <c r="F69" t="inlineStr">
        <is>
          <t>SKÅNE LÄN</t>
        </is>
      </c>
      <c r="G69" t="inlineStr">
        <is>
          <t>SJÖBO</t>
        </is>
      </c>
      <c r="I69" t="n">
        <v>5.6</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62807-2025</t>
        </is>
      </c>
      <c r="B70" t="inlineStr">
        <is>
          <t>avverkningsanmälan</t>
        </is>
      </c>
      <c r="C70" t="inlineStr">
        <is>
          <t>Föryngringsavverkning</t>
        </is>
      </c>
      <c r="D70" s="1" t="n">
        <v>46008</v>
      </c>
      <c r="E70" s="1" t="n">
        <v>46255</v>
      </c>
      <c r="F70" t="inlineStr">
        <is>
          <t>SKÅNE LÄN</t>
        </is>
      </c>
      <c r="G70" t="inlineStr">
        <is>
          <t>SJÖBO</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14747-2023</t>
        </is>
      </c>
      <c r="B71" t="inlineStr">
        <is>
          <t>avverkningsanmälan</t>
        </is>
      </c>
      <c r="C71" t="inlineStr">
        <is>
          <t>Föryngringsavverkning</t>
        </is>
      </c>
      <c r="D71" s="1" t="n">
        <v>45014</v>
      </c>
      <c r="E71" s="1" t="n">
        <v>46255</v>
      </c>
      <c r="F71" t="inlineStr">
        <is>
          <t>SKÅNE LÄN</t>
        </is>
      </c>
      <c r="G71" t="inlineStr">
        <is>
          <t>SJÖBO</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8862-2025</t>
        </is>
      </c>
      <c r="B72" t="inlineStr">
        <is>
          <t>avverkningsanmälan</t>
        </is>
      </c>
      <c r="C72" t="inlineStr">
        <is>
          <t>Föryngringsavverkning</t>
        </is>
      </c>
      <c r="D72" s="1" t="n">
        <v>45713</v>
      </c>
      <c r="E72" s="1" t="n">
        <v>46255</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46255</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1865-2025</t>
        </is>
      </c>
      <c r="B74" t="inlineStr">
        <is>
          <t>avverkningsanmälan</t>
        </is>
      </c>
      <c r="C74" t="inlineStr">
        <is>
          <t>Föryngringsavverkning</t>
        </is>
      </c>
      <c r="D74" s="1" t="n">
        <v>45671</v>
      </c>
      <c r="E74" s="1" t="n">
        <v>46255</v>
      </c>
      <c r="F74" t="inlineStr">
        <is>
          <t>SKÅNE LÄN</t>
        </is>
      </c>
      <c r="G74" t="inlineStr">
        <is>
          <t>SJÖBO</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49897-2025</t>
        </is>
      </c>
      <c r="B75" t="inlineStr">
        <is>
          <t>avverkningsanmälan</t>
        </is>
      </c>
      <c r="C75" t="inlineStr">
        <is>
          <t>Föryngringsavverkning</t>
        </is>
      </c>
      <c r="D75" s="1" t="n">
        <v>45940</v>
      </c>
      <c r="E75" s="1" t="n">
        <v>46255</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40463-2025</t>
        </is>
      </c>
      <c r="B76" t="inlineStr">
        <is>
          <t>avverkningsanmälan</t>
        </is>
      </c>
      <c r="C76" t="inlineStr">
        <is>
          <t>Föryngringsavverkning</t>
        </is>
      </c>
      <c r="D76" s="1" t="n">
        <v>45895</v>
      </c>
      <c r="E76" s="1" t="n">
        <v>46255</v>
      </c>
      <c r="F76" t="inlineStr">
        <is>
          <t>SKÅNE LÄN</t>
        </is>
      </c>
      <c r="G76" t="inlineStr">
        <is>
          <t>SJÖBO</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56137-2021</t>
        </is>
      </c>
      <c r="B77" t="inlineStr">
        <is>
          <t>avverkningsanmälan</t>
        </is>
      </c>
      <c r="C77" t="inlineStr">
        <is>
          <t>Föryngringsavverkning</t>
        </is>
      </c>
      <c r="D77" s="1" t="n">
        <v>44477</v>
      </c>
      <c r="E77" s="1" t="n">
        <v>46255</v>
      </c>
      <c r="F77" t="inlineStr">
        <is>
          <t>SKÅNE LÄN</t>
        </is>
      </c>
      <c r="G77" t="inlineStr">
        <is>
          <t>SJÖBO</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14573-2026</t>
        </is>
      </c>
      <c r="B78" t="inlineStr">
        <is>
          <t>avverkningsanmälan</t>
        </is>
      </c>
      <c r="C78" t="inlineStr">
        <is>
          <t>Föryngringsavverkning</t>
        </is>
      </c>
      <c r="D78" s="1" t="n">
        <v>46101</v>
      </c>
      <c r="E78" s="1" t="n">
        <v>46255</v>
      </c>
      <c r="F78" t="inlineStr">
        <is>
          <t>SKÅNE LÄN</t>
        </is>
      </c>
      <c r="G78" t="inlineStr">
        <is>
          <t>SJÖBO</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14572-2026</t>
        </is>
      </c>
      <c r="B79" t="inlineStr">
        <is>
          <t>avverkningsanmälan</t>
        </is>
      </c>
      <c r="C79" t="inlineStr">
        <is>
          <t>Föryngringsavverkning</t>
        </is>
      </c>
      <c r="D79" s="1" t="n">
        <v>46101</v>
      </c>
      <c r="E79" s="1" t="n">
        <v>46255</v>
      </c>
      <c r="F79" t="inlineStr">
        <is>
          <t>SKÅNE LÄN</t>
        </is>
      </c>
      <c r="G79" t="inlineStr">
        <is>
          <t>SJÖBO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7059-2025</t>
        </is>
      </c>
      <c r="B80" t="inlineStr">
        <is>
          <t>avverkningsanmälan</t>
        </is>
      </c>
      <c r="C80" t="inlineStr">
        <is>
          <t>Föryngringsavverkning</t>
        </is>
      </c>
      <c r="D80" s="1" t="n">
        <v>45701</v>
      </c>
      <c r="E80" s="1" t="n">
        <v>46255</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61431-2025</t>
        </is>
      </c>
      <c r="B81" t="inlineStr">
        <is>
          <t>avverkningsanmälan</t>
        </is>
      </c>
      <c r="C81" t="inlineStr">
        <is>
          <t>Föryngringsavverkning</t>
        </is>
      </c>
      <c r="D81" s="1" t="n">
        <v>46001</v>
      </c>
      <c r="E81" s="1" t="n">
        <v>46255</v>
      </c>
      <c r="F81" t="inlineStr">
        <is>
          <t>SKÅNE LÄN</t>
        </is>
      </c>
      <c r="G81" t="inlineStr">
        <is>
          <t>SJÖBO</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28923-2023</t>
        </is>
      </c>
      <c r="B82" t="inlineStr">
        <is>
          <t>avverkningsanmälan</t>
        </is>
      </c>
      <c r="C82" t="inlineStr">
        <is>
          <t>Avverkning för annat ändamål</t>
        </is>
      </c>
      <c r="D82" s="1" t="n">
        <v>45104</v>
      </c>
      <c r="E82" s="1" t="n">
        <v>46255</v>
      </c>
      <c r="F82" t="inlineStr">
        <is>
          <t>SKÅNE LÄN</t>
        </is>
      </c>
      <c r="G82" t="inlineStr">
        <is>
          <t>SJÖBO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746-2026</t>
        </is>
      </c>
      <c r="B83" t="inlineStr">
        <is>
          <t>avverkningsanmälan</t>
        </is>
      </c>
      <c r="C83" t="inlineStr">
        <is>
          <t>Föryngringsavverkning</t>
        </is>
      </c>
      <c r="D83" s="1" t="n">
        <v>46029</v>
      </c>
      <c r="E83" s="1" t="n">
        <v>46255</v>
      </c>
      <c r="F83" t="inlineStr">
        <is>
          <t>SKÅNE LÄN</t>
        </is>
      </c>
      <c r="G83" t="inlineStr">
        <is>
          <t>SJÖBO</t>
        </is>
      </c>
      <c r="H83" t="inlineStr">
        <is>
          <t>Sveaskog</t>
        </is>
      </c>
      <c r="I83" t="n">
        <v>6.6</v>
      </c>
      <c r="J83" t="n">
        <v>0</v>
      </c>
      <c r="K83" t="n">
        <v>0</v>
      </c>
      <c r="L83" t="n">
        <v>0</v>
      </c>
      <c r="M83" t="n">
        <v>0</v>
      </c>
      <c r="N83" t="n">
        <v>0</v>
      </c>
      <c r="O83" t="n">
        <v>0</v>
      </c>
      <c r="P83" t="n">
        <v>0</v>
      </c>
      <c r="Q83" t="n">
        <v>0</v>
      </c>
      <c r="R83" t="n">
        <v>0</v>
      </c>
      <c r="S83" t="n">
        <v>0</v>
      </c>
      <c r="T83" t="n">
        <v>0</v>
      </c>
      <c r="U83" t="n">
        <v>0</v>
      </c>
      <c r="V83" s="2" t="inlineStr"/>
    </row>
    <row r="84" ht="15" customHeight="1">
      <c r="A84" t="inlineStr">
        <is>
          <t>A 749-2026</t>
        </is>
      </c>
      <c r="B84" t="inlineStr">
        <is>
          <t>avverkningsanmälan</t>
        </is>
      </c>
      <c r="C84" t="inlineStr">
        <is>
          <t>Föryngringsavverkning</t>
        </is>
      </c>
      <c r="D84" s="1" t="n">
        <v>46029</v>
      </c>
      <c r="E84" s="1" t="n">
        <v>46255</v>
      </c>
      <c r="F84" t="inlineStr">
        <is>
          <t>SKÅNE LÄN</t>
        </is>
      </c>
      <c r="G84" t="inlineStr">
        <is>
          <t>SJÖBO</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3643-2026</t>
        </is>
      </c>
      <c r="B85" t="inlineStr">
        <is>
          <t>avverkningsanmälan</t>
        </is>
      </c>
      <c r="C85" t="inlineStr">
        <is>
          <t>Föryngringsavverkning</t>
        </is>
      </c>
      <c r="D85" s="1" t="n">
        <v>46043</v>
      </c>
      <c r="E85" s="1" t="n">
        <v>46255</v>
      </c>
      <c r="F85" t="inlineStr">
        <is>
          <t>SKÅNE LÄN</t>
        </is>
      </c>
      <c r="G85" t="inlineStr">
        <is>
          <t>SJÖBO</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5197-2026</t>
        </is>
      </c>
      <c r="B86" t="inlineStr">
        <is>
          <t>avverkningsanmälan</t>
        </is>
      </c>
      <c r="C86" t="inlineStr">
        <is>
          <t>Föryngringsavverkning</t>
        </is>
      </c>
      <c r="D86" s="1" t="n">
        <v>46049</v>
      </c>
      <c r="E86" s="1" t="n">
        <v>46255</v>
      </c>
      <c r="F86" t="inlineStr">
        <is>
          <t>SKÅNE LÄN</t>
        </is>
      </c>
      <c r="G86" t="inlineStr">
        <is>
          <t>SJÖBO</t>
        </is>
      </c>
      <c r="H86" t="inlineStr">
        <is>
          <t>Övriga Aktiebolag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5404-2026</t>
        </is>
      </c>
      <c r="B87" t="inlineStr">
        <is>
          <t>avverkningsanmälan</t>
        </is>
      </c>
      <c r="C87" t="inlineStr">
        <is>
          <t>Föryngringsavverkning</t>
        </is>
      </c>
      <c r="D87" s="1" t="n">
        <v>46049</v>
      </c>
      <c r="E87" s="1" t="n">
        <v>46255</v>
      </c>
      <c r="F87" t="inlineStr">
        <is>
          <t>SKÅNE LÄN</t>
        </is>
      </c>
      <c r="G87" t="inlineStr">
        <is>
          <t>SJÖBO</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31403-2023</t>
        </is>
      </c>
      <c r="B88" t="inlineStr">
        <is>
          <t>avverkningsanmälan</t>
        </is>
      </c>
      <c r="C88" t="inlineStr">
        <is>
          <t>Föryngringsavverkning</t>
        </is>
      </c>
      <c r="D88" s="1" t="n">
        <v>45114</v>
      </c>
      <c r="E88" s="1" t="n">
        <v>46255</v>
      </c>
      <c r="F88" t="inlineStr">
        <is>
          <t>SKÅNE LÄN</t>
        </is>
      </c>
      <c r="G88" t="inlineStr">
        <is>
          <t>SJÖBO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7474-2026</t>
        </is>
      </c>
      <c r="B89" t="inlineStr">
        <is>
          <t>avverkningsanmälan</t>
        </is>
      </c>
      <c r="C89" t="inlineStr">
        <is>
          <t>Avverkning för att bevara och utveckla /försöksver</t>
        </is>
      </c>
      <c r="D89" s="1" t="n">
        <v>46059</v>
      </c>
      <c r="E89" s="1" t="n">
        <v>46255</v>
      </c>
      <c r="F89" t="inlineStr">
        <is>
          <t>SKÅNE LÄN</t>
        </is>
      </c>
      <c r="G89" t="inlineStr">
        <is>
          <t>SJÖBO</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24833-2025</t>
        </is>
      </c>
      <c r="B90" t="inlineStr">
        <is>
          <t>avverkningsanmälan</t>
        </is>
      </c>
      <c r="C90" t="inlineStr">
        <is>
          <t>Föryngringsavverkning</t>
        </is>
      </c>
      <c r="D90" s="1" t="n">
        <v>45799</v>
      </c>
      <c r="E90" s="1" t="n">
        <v>46255</v>
      </c>
      <c r="F90" t="inlineStr">
        <is>
          <t>SKÅNE LÄN</t>
        </is>
      </c>
      <c r="G90" t="inlineStr">
        <is>
          <t>SJÖBO</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15856-2022</t>
        </is>
      </c>
      <c r="B91" t="inlineStr">
        <is>
          <t>avverkningsanmälan</t>
        </is>
      </c>
      <c r="C91" t="inlineStr">
        <is>
          <t>Föryngringsavverkning</t>
        </is>
      </c>
      <c r="D91" s="1" t="n">
        <v>44664</v>
      </c>
      <c r="E91" s="1" t="n">
        <v>46255</v>
      </c>
      <c r="F91" t="inlineStr">
        <is>
          <t>SKÅNE LÄN</t>
        </is>
      </c>
      <c r="G91" t="inlineStr">
        <is>
          <t>SJÖBO</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16346-2024</t>
        </is>
      </c>
      <c r="B92" t="inlineStr">
        <is>
          <t>avverkningsanmälan</t>
        </is>
      </c>
      <c r="C92" t="inlineStr">
        <is>
          <t>Föryngringsavverkning</t>
        </is>
      </c>
      <c r="D92" s="1" t="n">
        <v>45407</v>
      </c>
      <c r="E92" s="1" t="n">
        <v>46255</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34776-2023</t>
        </is>
      </c>
      <c r="B93" t="inlineStr">
        <is>
          <t>avverkningsanmälan</t>
        </is>
      </c>
      <c r="C93" t="inlineStr">
        <is>
          <t>Avverkning för annat ändamål</t>
        </is>
      </c>
      <c r="D93" s="1" t="n">
        <v>45140</v>
      </c>
      <c r="E93" s="1" t="n">
        <v>46255</v>
      </c>
      <c r="F93" t="inlineStr">
        <is>
          <t>SKÅNE LÄN</t>
        </is>
      </c>
      <c r="G93" t="inlineStr">
        <is>
          <t>SJÖBO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10454-2022</t>
        </is>
      </c>
      <c r="B94" t="inlineStr">
        <is>
          <t>avverkningsanmälan</t>
        </is>
      </c>
      <c r="C94" t="inlineStr">
        <is>
          <t>Föryngringsavverkning</t>
        </is>
      </c>
      <c r="D94" s="1" t="n">
        <v>44623</v>
      </c>
      <c r="E94" s="1" t="n">
        <v>46255</v>
      </c>
      <c r="F94" t="inlineStr">
        <is>
          <t>SKÅNE LÄN</t>
        </is>
      </c>
      <c r="G94" t="inlineStr">
        <is>
          <t>SJÖBO</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19884-2024</t>
        </is>
      </c>
      <c r="B95" t="inlineStr">
        <is>
          <t>avverkningsanmälan</t>
        </is>
      </c>
      <c r="C95" t="inlineStr">
        <is>
          <t>Föryngringsavverkning</t>
        </is>
      </c>
      <c r="D95" s="1" t="n">
        <v>45433</v>
      </c>
      <c r="E95" s="1" t="n">
        <v>46255</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22425-2024</t>
        </is>
      </c>
      <c r="B96" t="inlineStr">
        <is>
          <t>avverkningsanmälan</t>
        </is>
      </c>
      <c r="C96" t="inlineStr">
        <is>
          <t>Föryngringsavverkning</t>
        </is>
      </c>
      <c r="D96" s="1" t="n">
        <v>45446</v>
      </c>
      <c r="E96" s="1" t="n">
        <v>46255</v>
      </c>
      <c r="F96" t="inlineStr">
        <is>
          <t>SKÅNE LÄN</t>
        </is>
      </c>
      <c r="G96" t="inlineStr">
        <is>
          <t>SJÖBO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43745-2023</t>
        </is>
      </c>
      <c r="B97" t="inlineStr">
        <is>
          <t>avverkningsanmälan</t>
        </is>
      </c>
      <c r="C97" t="inlineStr">
        <is>
          <t>Föryngringsavverkning</t>
        </is>
      </c>
      <c r="D97" s="1" t="n">
        <v>45187</v>
      </c>
      <c r="E97" s="1" t="n">
        <v>46255</v>
      </c>
      <c r="F97" t="inlineStr">
        <is>
          <t>SKÅNE LÄN</t>
        </is>
      </c>
      <c r="G97" t="inlineStr">
        <is>
          <t>SJÖBO</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60371-2023</t>
        </is>
      </c>
      <c r="B98" t="inlineStr">
        <is>
          <t>avverkningsanmälan</t>
        </is>
      </c>
      <c r="C98" t="inlineStr">
        <is>
          <t>Föryngringsavverkning</t>
        </is>
      </c>
      <c r="D98" s="1" t="n">
        <v>45259</v>
      </c>
      <c r="E98" s="1" t="n">
        <v>46255</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46397-2023</t>
        </is>
      </c>
      <c r="B99" t="inlineStr">
        <is>
          <t>avverkningsanmälan</t>
        </is>
      </c>
      <c r="C99" t="inlineStr">
        <is>
          <t>Föryngringsavverkning</t>
        </is>
      </c>
      <c r="D99" s="1" t="n">
        <v>45191</v>
      </c>
      <c r="E99" s="1" t="n">
        <v>46255</v>
      </c>
      <c r="F99" t="inlineStr">
        <is>
          <t>SKÅNE LÄN</t>
        </is>
      </c>
      <c r="G99" t="inlineStr">
        <is>
          <t>SJÖBO</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50798-2023</t>
        </is>
      </c>
      <c r="B100" t="inlineStr">
        <is>
          <t>avverkningsanmälan</t>
        </is>
      </c>
      <c r="C100" t="inlineStr">
        <is>
          <t>Avverkning för annat ändamål</t>
        </is>
      </c>
      <c r="D100" s="1" t="n">
        <v>45217</v>
      </c>
      <c r="E100" s="1" t="n">
        <v>46255</v>
      </c>
      <c r="F100" t="inlineStr">
        <is>
          <t>SKÅNE LÄN</t>
        </is>
      </c>
      <c r="G100" t="inlineStr">
        <is>
          <t>SJÖBO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54711-2023</t>
        </is>
      </c>
      <c r="B101" t="inlineStr">
        <is>
          <t>avverkningsanmälan</t>
        </is>
      </c>
      <c r="C101" t="inlineStr">
        <is>
          <t>Föryngringsavverkning</t>
        </is>
      </c>
      <c r="D101" s="1" t="n">
        <v>45236</v>
      </c>
      <c r="E101" s="1" t="n">
        <v>46255</v>
      </c>
      <c r="F101" t="inlineStr">
        <is>
          <t>SKÅNE LÄN</t>
        </is>
      </c>
      <c r="G101" t="inlineStr">
        <is>
          <t>SJÖBO</t>
        </is>
      </c>
      <c r="H101" t="inlineStr">
        <is>
          <t>Kommuner</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21479-2026</t>
        </is>
      </c>
      <c r="B102" t="inlineStr">
        <is>
          <t>avverkningsanmälan</t>
        </is>
      </c>
      <c r="C102" t="inlineStr">
        <is>
          <t>Avverkning för annat ändamål</t>
        </is>
      </c>
      <c r="D102" s="1" t="n">
        <v>46148</v>
      </c>
      <c r="E102" s="1" t="n">
        <v>46255</v>
      </c>
      <c r="F102" t="inlineStr">
        <is>
          <t>SKÅNE LÄN</t>
        </is>
      </c>
      <c r="G102" t="inlineStr">
        <is>
          <t>SJÖBO</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27237-2024</t>
        </is>
      </c>
      <c r="B103" t="inlineStr">
        <is>
          <t>avverkningsanmälan</t>
        </is>
      </c>
      <c r="C103" t="inlineStr">
        <is>
          <t>Föryngringsavverkning</t>
        </is>
      </c>
      <c r="D103" s="1" t="n">
        <v>45471</v>
      </c>
      <c r="E103" s="1" t="n">
        <v>46255</v>
      </c>
      <c r="F103" t="inlineStr">
        <is>
          <t>SKÅNE LÄN</t>
        </is>
      </c>
      <c r="G103" t="inlineStr">
        <is>
          <t>SJÖBO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39414-2023</t>
        </is>
      </c>
      <c r="B104" t="inlineStr">
        <is>
          <t>avverkningsanmälan</t>
        </is>
      </c>
      <c r="C104" t="inlineStr">
        <is>
          <t>Föryngringsavverkning</t>
        </is>
      </c>
      <c r="D104" s="1" t="n">
        <v>45163</v>
      </c>
      <c r="E104" s="1" t="n">
        <v>46255</v>
      </c>
      <c r="F104" t="inlineStr">
        <is>
          <t>SKÅNE LÄN</t>
        </is>
      </c>
      <c r="G104" t="inlineStr">
        <is>
          <t>SJÖBO</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12965-2024</t>
        </is>
      </c>
      <c r="B105" t="inlineStr">
        <is>
          <t>avverkningsanmälan</t>
        </is>
      </c>
      <c r="C105" t="inlineStr">
        <is>
          <t>Föryngringsavverkning</t>
        </is>
      </c>
      <c r="D105" s="1" t="n">
        <v>45385</v>
      </c>
      <c r="E105" s="1" t="n">
        <v>46255</v>
      </c>
      <c r="F105" t="inlineStr">
        <is>
          <t>SKÅNE LÄN</t>
        </is>
      </c>
      <c r="G105" t="inlineStr">
        <is>
          <t>SJÖBO</t>
        </is>
      </c>
      <c r="H105" t="inlineStr">
        <is>
          <t>Övriga Aktiebolag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61031-2022</t>
        </is>
      </c>
      <c r="B106" t="inlineStr">
        <is>
          <t>avverkningsanmälan</t>
        </is>
      </c>
      <c r="C106" t="inlineStr">
        <is>
          <t>Föryngringsavverkning</t>
        </is>
      </c>
      <c r="D106" s="1" t="n">
        <v>44914</v>
      </c>
      <c r="E106" s="1" t="n">
        <v>46255</v>
      </c>
      <c r="F106" t="inlineStr">
        <is>
          <t>SKÅNE LÄN</t>
        </is>
      </c>
      <c r="G106" t="inlineStr">
        <is>
          <t>SJÖBO</t>
        </is>
      </c>
      <c r="H106" t="inlineStr">
        <is>
          <t>Övriga Aktiebolag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47656-2023</t>
        </is>
      </c>
      <c r="B107" t="inlineStr">
        <is>
          <t>avverkningsanmälan</t>
        </is>
      </c>
      <c r="C107" t="inlineStr">
        <is>
          <t>Föryngringsavverkning</t>
        </is>
      </c>
      <c r="D107" s="1" t="n">
        <v>45203</v>
      </c>
      <c r="E107" s="1" t="n">
        <v>46255</v>
      </c>
      <c r="F107" t="inlineStr">
        <is>
          <t>SKÅNE LÄN</t>
        </is>
      </c>
      <c r="G107" t="inlineStr">
        <is>
          <t>SJÖBO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42599-2025</t>
        </is>
      </c>
      <c r="B108" t="inlineStr">
        <is>
          <t>avverkningsanmälan</t>
        </is>
      </c>
      <c r="C108" t="inlineStr">
        <is>
          <t>Föryngringsavverkning</t>
        </is>
      </c>
      <c r="D108" s="1" t="n">
        <v>45905</v>
      </c>
      <c r="E108" s="1" t="n">
        <v>46255</v>
      </c>
      <c r="F108" t="inlineStr">
        <is>
          <t>SKÅNE LÄN</t>
        </is>
      </c>
      <c r="G108" t="inlineStr">
        <is>
          <t>SJÖBO</t>
        </is>
      </c>
      <c r="I108" t="n">
        <v>9.800000000000001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13754-2023</t>
        </is>
      </c>
      <c r="B109" t="inlineStr">
        <is>
          <t>avverkningsanmälan</t>
        </is>
      </c>
      <c r="C109" t="inlineStr">
        <is>
          <t>Föryngringsavverkning</t>
        </is>
      </c>
      <c r="D109" s="1" t="n">
        <v>45007</v>
      </c>
      <c r="E109" s="1" t="n">
        <v>46255</v>
      </c>
      <c r="F109" t="inlineStr">
        <is>
          <t>SKÅNE LÄN</t>
        </is>
      </c>
      <c r="G109" t="inlineStr">
        <is>
          <t>SJÖBO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2026-2022</t>
        </is>
      </c>
      <c r="B110" t="inlineStr">
        <is>
          <t>avverkningsanmälan</t>
        </is>
      </c>
      <c r="C110" t="inlineStr">
        <is>
          <t>Föryngringsavverkning</t>
        </is>
      </c>
      <c r="D110" s="1" t="n">
        <v>44575</v>
      </c>
      <c r="E110" s="1" t="n">
        <v>46255</v>
      </c>
      <c r="F110" t="inlineStr">
        <is>
          <t>SKÅNE LÄN</t>
        </is>
      </c>
      <c r="G110" t="inlineStr">
        <is>
          <t>SJÖBO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64905-2023</t>
        </is>
      </c>
      <c r="B111" t="inlineStr">
        <is>
          <t>avverkningsanmälan</t>
        </is>
      </c>
      <c r="C111" t="inlineStr">
        <is>
          <t>Föryngringsavverkning</t>
        </is>
      </c>
      <c r="D111" s="1" t="n">
        <v>45282</v>
      </c>
      <c r="E111" s="1" t="n">
        <v>46255</v>
      </c>
      <c r="F111" t="inlineStr">
        <is>
          <t>SKÅNE LÄN</t>
        </is>
      </c>
      <c r="G111" t="inlineStr">
        <is>
          <t>SJÖBO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16429-2023</t>
        </is>
      </c>
      <c r="B112" t="inlineStr">
        <is>
          <t>avverkningsanmälan</t>
        </is>
      </c>
      <c r="C112" t="inlineStr">
        <is>
          <t>Föryngringsavverkning</t>
        </is>
      </c>
      <c r="D112" s="1" t="n">
        <v>45029</v>
      </c>
      <c r="E112" s="1" t="n">
        <v>46255</v>
      </c>
      <c r="F112" t="inlineStr">
        <is>
          <t>SKÅNE LÄN</t>
        </is>
      </c>
      <c r="G112" t="inlineStr">
        <is>
          <t>SJÖBO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28919-2023</t>
        </is>
      </c>
      <c r="B113" t="inlineStr">
        <is>
          <t>avverkningsanmälan</t>
        </is>
      </c>
      <c r="C113" t="inlineStr">
        <is>
          <t>Föryngringsavverkning</t>
        </is>
      </c>
      <c r="D113" s="1" t="n">
        <v>45104</v>
      </c>
      <c r="E113" s="1" t="n">
        <v>46255</v>
      </c>
      <c r="F113" t="inlineStr">
        <is>
          <t>SKÅNE LÄN</t>
        </is>
      </c>
      <c r="G113" t="inlineStr">
        <is>
          <t>SJÖBO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6229-2022</t>
        </is>
      </c>
      <c r="B114" t="inlineStr">
        <is>
          <t>avverkningsanmälan</t>
        </is>
      </c>
      <c r="C114" t="inlineStr">
        <is>
          <t>Föryngringsavverkning</t>
        </is>
      </c>
      <c r="D114" s="1" t="n">
        <v>44600</v>
      </c>
      <c r="E114" s="1" t="n">
        <v>46255</v>
      </c>
      <c r="F114" t="inlineStr">
        <is>
          <t>SKÅNE LÄN</t>
        </is>
      </c>
      <c r="G114" t="inlineStr">
        <is>
          <t>SJÖBO</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49298-2023</t>
        </is>
      </c>
      <c r="B115" t="inlineStr">
        <is>
          <t>avverkningsanmälan</t>
        </is>
      </c>
      <c r="C115" t="inlineStr">
        <is>
          <t>Föryngringsavverkning</t>
        </is>
      </c>
      <c r="D115" s="1" t="n">
        <v>45210</v>
      </c>
      <c r="E115" s="1" t="n">
        <v>46255</v>
      </c>
      <c r="F115" t="inlineStr">
        <is>
          <t>SKÅNE LÄN</t>
        </is>
      </c>
      <c r="G115" t="inlineStr">
        <is>
          <t>SJÖBO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26781-2026</t>
        </is>
      </c>
      <c r="B116" t="inlineStr">
        <is>
          <t>avverkningsanmälan</t>
        </is>
      </c>
      <c r="C116" t="inlineStr">
        <is>
          <t>Föryngringsavverkning</t>
        </is>
      </c>
      <c r="D116" s="1" t="n">
        <v>46184</v>
      </c>
      <c r="E116" s="1" t="n">
        <v>46255</v>
      </c>
      <c r="F116" t="inlineStr">
        <is>
          <t>SKÅNE LÄN</t>
        </is>
      </c>
      <c r="G116" t="inlineStr">
        <is>
          <t>SJÖBO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46255</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39407-2023</t>
        </is>
      </c>
      <c r="B118" t="inlineStr">
        <is>
          <t>avverkningsanmälan</t>
        </is>
      </c>
      <c r="C118" t="inlineStr">
        <is>
          <t>Avverkning för annat ändamål</t>
        </is>
      </c>
      <c r="D118" s="1" t="n">
        <v>45163</v>
      </c>
      <c r="E118" s="1" t="n">
        <v>46255</v>
      </c>
      <c r="F118" t="inlineStr">
        <is>
          <t>SKÅNE LÄN</t>
        </is>
      </c>
      <c r="G118" t="inlineStr">
        <is>
          <t>SJÖBO</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22406-2022</t>
        </is>
      </c>
      <c r="B119" t="inlineStr">
        <is>
          <t>avverkningsanmälan</t>
        </is>
      </c>
      <c r="C119" t="inlineStr">
        <is>
          <t>Föryngringsavverkning</t>
        </is>
      </c>
      <c r="D119" s="1" t="n">
        <v>44713</v>
      </c>
      <c r="E119" s="1" t="n">
        <v>46255</v>
      </c>
      <c r="F119" t="inlineStr">
        <is>
          <t>SKÅNE LÄN</t>
        </is>
      </c>
      <c r="G119" t="inlineStr">
        <is>
          <t>SJÖBO</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45981-2023</t>
        </is>
      </c>
      <c r="B120" t="inlineStr">
        <is>
          <t>avverkningsanmälan</t>
        </is>
      </c>
      <c r="C120" t="inlineStr">
        <is>
          <t>Föryngringsavverkning</t>
        </is>
      </c>
      <c r="D120" s="1" t="n">
        <v>45189</v>
      </c>
      <c r="E120" s="1" t="n">
        <v>46255</v>
      </c>
      <c r="F120" t="inlineStr">
        <is>
          <t>SKÅNE LÄN</t>
        </is>
      </c>
      <c r="G120" t="inlineStr">
        <is>
          <t>SJÖBO</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19877-2024</t>
        </is>
      </c>
      <c r="B121" t="inlineStr">
        <is>
          <t>avverkningsanmälan</t>
        </is>
      </c>
      <c r="C121" t="inlineStr">
        <is>
          <t>Föryngringsavverkning</t>
        </is>
      </c>
      <c r="D121" s="1" t="n">
        <v>45433</v>
      </c>
      <c r="E121" s="1" t="n">
        <v>46255</v>
      </c>
      <c r="F121" t="inlineStr">
        <is>
          <t>SKÅNE LÄN</t>
        </is>
      </c>
      <c r="G121" t="inlineStr">
        <is>
          <t>SJÖBO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8568-2023</t>
        </is>
      </c>
      <c r="B122" t="inlineStr">
        <is>
          <t>avverkningsanmälan</t>
        </is>
      </c>
      <c r="C122" t="inlineStr">
        <is>
          <t>Avverkning för annat ändamål</t>
        </is>
      </c>
      <c r="D122" s="1" t="n">
        <v>44977</v>
      </c>
      <c r="E122" s="1" t="n">
        <v>46255</v>
      </c>
      <c r="F122" t="inlineStr">
        <is>
          <t>SKÅNE LÄN</t>
        </is>
      </c>
      <c r="G122" t="inlineStr">
        <is>
          <t>SJÖBO</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1031-2025</t>
        </is>
      </c>
      <c r="B123" t="inlineStr">
        <is>
          <t>avverkningsanmälan</t>
        </is>
      </c>
      <c r="C123" t="inlineStr">
        <is>
          <t>Föryngringsavverkning</t>
        </is>
      </c>
      <c r="D123" s="1" t="n">
        <v>45666</v>
      </c>
      <c r="E123" s="1" t="n">
        <v>46255</v>
      </c>
      <c r="F123" t="inlineStr">
        <is>
          <t>SKÅNE LÄN</t>
        </is>
      </c>
      <c r="G123" t="inlineStr">
        <is>
          <t>SJÖBO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16373-2024</t>
        </is>
      </c>
      <c r="B124" t="inlineStr">
        <is>
          <t>avverkningsanmälan</t>
        </is>
      </c>
      <c r="C124" t="inlineStr">
        <is>
          <t>Föryngringsavverkning</t>
        </is>
      </c>
      <c r="D124" s="1" t="n">
        <v>45407</v>
      </c>
      <c r="E124" s="1" t="n">
        <v>46255</v>
      </c>
      <c r="F124" t="inlineStr">
        <is>
          <t>SKÅNE LÄN</t>
        </is>
      </c>
      <c r="G124" t="inlineStr">
        <is>
          <t>SJÖBO</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3258-2023</t>
        </is>
      </c>
      <c r="B125" t="inlineStr">
        <is>
          <t>avverkningsanmälan</t>
        </is>
      </c>
      <c r="C125" t="inlineStr">
        <is>
          <t>Avverkning för annat ändamål</t>
        </is>
      </c>
      <c r="D125" s="1" t="n">
        <v>44948</v>
      </c>
      <c r="E125" s="1" t="n">
        <v>46255</v>
      </c>
      <c r="F125" t="inlineStr">
        <is>
          <t>SKÅNE LÄN</t>
        </is>
      </c>
      <c r="G125" t="inlineStr">
        <is>
          <t>SJÖBO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22330-2024</t>
        </is>
      </c>
      <c r="B126" t="inlineStr">
        <is>
          <t>avverkningsanmälan</t>
        </is>
      </c>
      <c r="C126" t="inlineStr">
        <is>
          <t>Föryngringsavverkning</t>
        </is>
      </c>
      <c r="D126" s="1" t="n">
        <v>45446</v>
      </c>
      <c r="E126" s="1" t="n">
        <v>46255</v>
      </c>
      <c r="F126" t="inlineStr">
        <is>
          <t>SKÅNE LÄN</t>
        </is>
      </c>
      <c r="G126" t="inlineStr">
        <is>
          <t>SJÖBO</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2449-2023</t>
        </is>
      </c>
      <c r="B127" t="inlineStr">
        <is>
          <t>avverkningsanmälan</t>
        </is>
      </c>
      <c r="C127" t="inlineStr">
        <is>
          <t>Föryngringsavverkning</t>
        </is>
      </c>
      <c r="D127" s="1" t="n">
        <v>44943</v>
      </c>
      <c r="E127" s="1" t="n">
        <v>46255</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26730-2023</t>
        </is>
      </c>
      <c r="B128" t="inlineStr">
        <is>
          <t>avverkningsanmälan</t>
        </is>
      </c>
      <c r="C128" t="inlineStr">
        <is>
          <t>Avverkning för annat ändamål</t>
        </is>
      </c>
      <c r="D128" s="1" t="n">
        <v>45090</v>
      </c>
      <c r="E128" s="1" t="n">
        <v>46255</v>
      </c>
      <c r="F128" t="inlineStr">
        <is>
          <t>SKÅNE LÄN</t>
        </is>
      </c>
      <c r="G128" t="inlineStr">
        <is>
          <t>SJÖBO</t>
        </is>
      </c>
      <c r="H128" t="inlineStr">
        <is>
          <t>Sveaskog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30704-2026</t>
        </is>
      </c>
      <c r="B129" t="inlineStr">
        <is>
          <t>avverkningsanmälan</t>
        </is>
      </c>
      <c r="C129" t="inlineStr">
        <is>
          <t>Föryngringsavverkning</t>
        </is>
      </c>
      <c r="D129" s="1" t="n">
        <v>46211</v>
      </c>
      <c r="E129" s="1" t="n">
        <v>46255</v>
      </c>
      <c r="F129" t="inlineStr">
        <is>
          <t>SKÅNE LÄN</t>
        </is>
      </c>
      <c r="G129" t="inlineStr">
        <is>
          <t>SJÖBO</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46255</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46255</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46255</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46255</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44893-2024</t>
        </is>
      </c>
      <c r="B134" t="inlineStr">
        <is>
          <t>avverkningsanmälan</t>
        </is>
      </c>
      <c r="C134" t="inlineStr">
        <is>
          <t>Föryngringsavverkning</t>
        </is>
      </c>
      <c r="D134" s="1" t="n">
        <v>45575</v>
      </c>
      <c r="E134" s="1" t="n">
        <v>46255</v>
      </c>
      <c r="F134" t="inlineStr">
        <is>
          <t>SKÅNE LÄN</t>
        </is>
      </c>
      <c r="G134" t="inlineStr">
        <is>
          <t>SJÖBO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60947-2024</t>
        </is>
      </c>
      <c r="B135" t="inlineStr">
        <is>
          <t>avverkningsanmälan</t>
        </is>
      </c>
      <c r="C135" t="inlineStr">
        <is>
          <t>Föryngringsavverkning</t>
        </is>
      </c>
      <c r="D135" s="1" t="n">
        <v>45645</v>
      </c>
      <c r="E135" s="1" t="n">
        <v>46255</v>
      </c>
      <c r="F135" t="inlineStr">
        <is>
          <t>SKÅNE LÄN</t>
        </is>
      </c>
      <c r="G135" t="inlineStr">
        <is>
          <t>SJÖBO</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8859-2025</t>
        </is>
      </c>
      <c r="B136" t="inlineStr">
        <is>
          <t>avverkningsanmälan</t>
        </is>
      </c>
      <c r="C136" t="inlineStr">
        <is>
          <t>Föryngringsavverkning</t>
        </is>
      </c>
      <c r="D136" s="1" t="n">
        <v>45713</v>
      </c>
      <c r="E136" s="1" t="n">
        <v>46255</v>
      </c>
      <c r="F136" t="inlineStr">
        <is>
          <t>SKÅNE LÄN</t>
        </is>
      </c>
      <c r="G136" t="inlineStr">
        <is>
          <t>SJÖBO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46255</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46255</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46255</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2026-08-21T01:51:35Z</dcterms:created>
  <dcterms:modified xmlns:dcterms="http://purl.org/dc/terms/" xmlns:xsi="http://www.w3.org/2001/XMLSchema-instance" xsi:type="dcterms:W3CDTF">2026-08-21T01:51:35Z</dcterms:modified>
</cp:coreProperties>
</file>