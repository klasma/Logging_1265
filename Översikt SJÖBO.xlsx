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46174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46174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46174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46174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46174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46174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46174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46174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46174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46174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46174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24914-2025</t>
        </is>
      </c>
      <c r="B15" s="1" t="n">
        <v>45799</v>
      </c>
      <c r="C15" s="1" t="n">
        <v>46174</v>
      </c>
      <c r="D15" t="inlineStr">
        <is>
          <t>SKÅNE LÄN</t>
        </is>
      </c>
      <c r="E15" t="inlineStr">
        <is>
          <t>SJÖBO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Hårig tallbastborre</t>
        </is>
      </c>
      <c r="S15">
        <f>HYPERLINK("https://klasma.github.io/Logging_1265/artfynd/A 24914-2025 artfynd.xlsx", "A 24914-2025")</f>
        <v/>
      </c>
      <c r="T15">
        <f>HYPERLINK("https://klasma.github.io/Logging_1265/kartor/A 24914-2025 karta.png", "A 24914-2025")</f>
        <v/>
      </c>
      <c r="V15">
        <f>HYPERLINK("https://klasma.github.io/Logging_1265/klagomål/A 24914-2025 FSC-klagomål.docx", "A 24914-2025")</f>
        <v/>
      </c>
      <c r="W15">
        <f>HYPERLINK("https://klasma.github.io/Logging_1265/klagomålsmail/A 24914-2025 FSC-klagomål mail.docx", "A 24914-2025")</f>
        <v/>
      </c>
      <c r="X15">
        <f>HYPERLINK("https://klasma.github.io/Logging_1265/tillsyn/A 24914-2025 tillsynsbegäran.docx", "A 24914-2025")</f>
        <v/>
      </c>
      <c r="Y15">
        <f>HYPERLINK("https://klasma.github.io/Logging_1265/tillsynsmail/A 24914-2025 tillsynsbegäran mail.docx", "A 24914-2025")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46174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46174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46174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3765-2026</t>
        </is>
      </c>
      <c r="B19" s="1" t="n">
        <v>46043</v>
      </c>
      <c r="C19" s="1" t="n">
        <v>46174</v>
      </c>
      <c r="D19" t="inlineStr">
        <is>
          <t>SKÅNE LÄN</t>
        </is>
      </c>
      <c r="E19" t="inlineStr">
        <is>
          <t>SJÖBO</t>
        </is>
      </c>
      <c r="G19" t="n">
        <v>5.6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3765-2026 artfynd.xlsx", "A 3765-2026")</f>
        <v/>
      </c>
      <c r="T19">
        <f>HYPERLINK("https://klasma.github.io/Logging_1265/kartor/A 3765-2026 karta.png", "A 3765-2026")</f>
        <v/>
      </c>
      <c r="V19">
        <f>HYPERLINK("https://klasma.github.io/Logging_1265/klagomål/A 3765-2026 FSC-klagomål.docx", "A 3765-2026")</f>
        <v/>
      </c>
      <c r="W19">
        <f>HYPERLINK("https://klasma.github.io/Logging_1265/klagomålsmail/A 3765-2026 FSC-klagomål mail.docx", "A 3765-2026")</f>
        <v/>
      </c>
      <c r="X19">
        <f>HYPERLINK("https://klasma.github.io/Logging_1265/tillsyn/A 3765-2026 tillsynsbegäran.docx", "A 3765-2026")</f>
        <v/>
      </c>
      <c r="Y19">
        <f>HYPERLINK("https://klasma.github.io/Logging_1265/tillsynsmail/A 3765-2026 tillsynsbegäran mail.docx", "A 3765-2026")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46174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46174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46174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46174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46174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46174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46174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46174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61875-2023</t>
        </is>
      </c>
      <c r="B33" s="1" t="n">
        <v>45265</v>
      </c>
      <c r="C33" s="1" t="n">
        <v>46174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3258-2023</t>
        </is>
      </c>
      <c r="B34" s="1" t="n">
        <v>44948</v>
      </c>
      <c r="C34" s="1" t="n">
        <v>46174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46174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21425-2022</t>
        </is>
      </c>
      <c r="B36" s="1" t="n">
        <v>44706</v>
      </c>
      <c r="C36" s="1" t="n">
        <v>46174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46174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2449-2023</t>
        </is>
      </c>
      <c r="B38" s="1" t="n">
        <v>44943.43438657407</v>
      </c>
      <c r="C38" s="1" t="n">
        <v>46174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46174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16373-2024</t>
        </is>
      </c>
      <c r="B40" s="1" t="n">
        <v>45407.60150462963</v>
      </c>
      <c r="C40" s="1" t="n">
        <v>46174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16346-2024</t>
        </is>
      </c>
      <c r="B41" s="1" t="n">
        <v>45407.56798611111</v>
      </c>
      <c r="C41" s="1" t="n">
        <v>46174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46174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47656-2023</t>
        </is>
      </c>
      <c r="B43" s="1" t="n">
        <v>45203</v>
      </c>
      <c r="C43" s="1" t="n">
        <v>46174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56137-2021</t>
        </is>
      </c>
      <c r="B44" s="1" t="n">
        <v>44477</v>
      </c>
      <c r="C44" s="1" t="n">
        <v>46174</v>
      </c>
      <c r="D44" t="inlineStr">
        <is>
          <t>SKÅNE LÄN</t>
        </is>
      </c>
      <c r="E44" t="inlineStr">
        <is>
          <t>SJÖBO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45925-2023</t>
        </is>
      </c>
      <c r="B45" s="1" t="n">
        <v>45189</v>
      </c>
      <c r="C45" s="1" t="n">
        <v>46174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19880-2024</t>
        </is>
      </c>
      <c r="B46" s="1" t="n">
        <v>45433</v>
      </c>
      <c r="C46" s="1" t="n">
        <v>46174</v>
      </c>
      <c r="D46" t="inlineStr">
        <is>
          <t>SKÅNE LÄN</t>
        </is>
      </c>
      <c r="E46" t="inlineStr">
        <is>
          <t>SJÖBO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43745-2023</t>
        </is>
      </c>
      <c r="B47" s="1" t="n">
        <v>45187.47180555556</v>
      </c>
      <c r="C47" s="1" t="n">
        <v>46174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70933-2021</t>
        </is>
      </c>
      <c r="B48" s="1" t="n">
        <v>44538</v>
      </c>
      <c r="C48" s="1" t="n">
        <v>46174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47943-2023</t>
        </is>
      </c>
      <c r="B49" s="1" t="n">
        <v>45204</v>
      </c>
      <c r="C49" s="1" t="n">
        <v>46174</v>
      </c>
      <c r="D49" t="inlineStr">
        <is>
          <t>SKÅNE LÄN</t>
        </is>
      </c>
      <c r="E49" t="inlineStr">
        <is>
          <t>SJÖBO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46174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32732-2022</t>
        </is>
      </c>
      <c r="B51" s="1" t="n">
        <v>44783</v>
      </c>
      <c r="C51" s="1" t="n">
        <v>46174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46397-2023</t>
        </is>
      </c>
      <c r="B52" s="1" t="n">
        <v>45191</v>
      </c>
      <c r="C52" s="1" t="n">
        <v>46174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16340-2024</t>
        </is>
      </c>
      <c r="B53" s="1" t="n">
        <v>45407.56114583334</v>
      </c>
      <c r="C53" s="1" t="n">
        <v>46174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13754-2023</t>
        </is>
      </c>
      <c r="B54" s="1" t="n">
        <v>45007.40105324074</v>
      </c>
      <c r="C54" s="1" t="n">
        <v>46174</v>
      </c>
      <c r="D54" t="inlineStr">
        <is>
          <t>SKÅNE LÄN</t>
        </is>
      </c>
      <c r="E54" t="inlineStr">
        <is>
          <t>SJÖBO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46174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39407-2023</t>
        </is>
      </c>
      <c r="B56" s="1" t="n">
        <v>45163</v>
      </c>
      <c r="C56" s="1" t="n">
        <v>46174</v>
      </c>
      <c r="D56" t="inlineStr">
        <is>
          <t>SKÅNE LÄN</t>
        </is>
      </c>
      <c r="E56" t="inlineStr">
        <is>
          <t>SJÖBO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46174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28919-2023</t>
        </is>
      </c>
      <c r="B58" s="1" t="n">
        <v>45104</v>
      </c>
      <c r="C58" s="1" t="n">
        <v>46174</v>
      </c>
      <c r="D58" t="inlineStr">
        <is>
          <t>SKÅNE LÄN</t>
        </is>
      </c>
      <c r="E58" t="inlineStr">
        <is>
          <t>SJÖBO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36414-2023</t>
        </is>
      </c>
      <c r="B59" s="1" t="n">
        <v>45152</v>
      </c>
      <c r="C59" s="1" t="n">
        <v>46174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46174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46174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46174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51153-2024</t>
        </is>
      </c>
      <c r="B63" s="1" t="n">
        <v>45603.57090277778</v>
      </c>
      <c r="C63" s="1" t="n">
        <v>46174</v>
      </c>
      <c r="D63" t="inlineStr">
        <is>
          <t>SKÅNE LÄN</t>
        </is>
      </c>
      <c r="E63" t="inlineStr">
        <is>
          <t>SJÖBO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2026-2022</t>
        </is>
      </c>
      <c r="B64" s="1" t="n">
        <v>44575</v>
      </c>
      <c r="C64" s="1" t="n">
        <v>46174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29816-2025</t>
        </is>
      </c>
      <c r="B65" s="1" t="n">
        <v>45825.83328703704</v>
      </c>
      <c r="C65" s="1" t="n">
        <v>46174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15856-2022</t>
        </is>
      </c>
      <c r="B66" s="1" t="n">
        <v>44664</v>
      </c>
      <c r="C66" s="1" t="n">
        <v>46174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22425-2024</t>
        </is>
      </c>
      <c r="B67" s="1" t="n">
        <v>45446</v>
      </c>
      <c r="C67" s="1" t="n">
        <v>46174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46174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46174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39414-2023</t>
        </is>
      </c>
      <c r="B70" s="1" t="n">
        <v>45163</v>
      </c>
      <c r="C70" s="1" t="n">
        <v>46174</v>
      </c>
      <c r="D70" t="inlineStr">
        <is>
          <t>SKÅNE LÄN</t>
        </is>
      </c>
      <c r="E70" t="inlineStr">
        <is>
          <t>SJÖBO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31403-2023</t>
        </is>
      </c>
      <c r="B71" s="1" t="n">
        <v>45114</v>
      </c>
      <c r="C71" s="1" t="n">
        <v>46174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1235-2022</t>
        </is>
      </c>
      <c r="B72" s="1" t="n">
        <v>44572.58090277778</v>
      </c>
      <c r="C72" s="1" t="n">
        <v>46174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42323-2025</t>
        </is>
      </c>
      <c r="B73" s="1" t="n">
        <v>45903</v>
      </c>
      <c r="C73" s="1" t="n">
        <v>46174</v>
      </c>
      <c r="D73" t="inlineStr">
        <is>
          <t>SKÅNE LÄN</t>
        </is>
      </c>
      <c r="E73" t="inlineStr">
        <is>
          <t>SJÖBO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42599-2025</t>
        </is>
      </c>
      <c r="B74" s="1" t="n">
        <v>45905.66563657407</v>
      </c>
      <c r="C74" s="1" t="n">
        <v>46174</v>
      </c>
      <c r="D74" t="inlineStr">
        <is>
          <t>SKÅNE LÄN</t>
        </is>
      </c>
      <c r="E74" t="inlineStr">
        <is>
          <t>SJÖBO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27237-2024</t>
        </is>
      </c>
      <c r="B75" s="1" t="n">
        <v>45471</v>
      </c>
      <c r="C75" s="1" t="n">
        <v>46174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26730-2023</t>
        </is>
      </c>
      <c r="B76" s="1" t="n">
        <v>45090</v>
      </c>
      <c r="C76" s="1" t="n">
        <v>46174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43000-2025</t>
        </is>
      </c>
      <c r="B77" s="1" t="n">
        <v>45909</v>
      </c>
      <c r="C77" s="1" t="n">
        <v>46174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1846-2025</t>
        </is>
      </c>
      <c r="B78" s="1" t="n">
        <v>45671</v>
      </c>
      <c r="C78" s="1" t="n">
        <v>46174</v>
      </c>
      <c r="D78" t="inlineStr">
        <is>
          <t>SKÅNE LÄN</t>
        </is>
      </c>
      <c r="E78" t="inlineStr">
        <is>
          <t>SJÖBO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19883-2024</t>
        </is>
      </c>
      <c r="B79" s="1" t="n">
        <v>45433</v>
      </c>
      <c r="C79" s="1" t="n">
        <v>46174</v>
      </c>
      <c r="D79" t="inlineStr">
        <is>
          <t>SKÅNE LÄN</t>
        </is>
      </c>
      <c r="E79" t="inlineStr">
        <is>
          <t>SJÖBO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19888-2024</t>
        </is>
      </c>
      <c r="B80" s="1" t="n">
        <v>45433</v>
      </c>
      <c r="C80" s="1" t="n">
        <v>46174</v>
      </c>
      <c r="D80" t="inlineStr">
        <is>
          <t>SKÅNE LÄN</t>
        </is>
      </c>
      <c r="E80" t="inlineStr">
        <is>
          <t>SJÖBO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46174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46174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46174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46174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1098-2025</t>
        </is>
      </c>
      <c r="B85" s="1" t="n">
        <v>45666.64070601852</v>
      </c>
      <c r="C85" s="1" t="n">
        <v>46174</v>
      </c>
      <c r="D85" t="inlineStr">
        <is>
          <t>SKÅNE LÄN</t>
        </is>
      </c>
      <c r="E85" t="inlineStr">
        <is>
          <t>SJÖBO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46174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46174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50798-2023</t>
        </is>
      </c>
      <c r="B88" s="1" t="n">
        <v>45217</v>
      </c>
      <c r="C88" s="1" t="n">
        <v>46174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46174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46174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60778-2023</t>
        </is>
      </c>
      <c r="B91" s="1" t="n">
        <v>45260</v>
      </c>
      <c r="C91" s="1" t="n">
        <v>46174</v>
      </c>
      <c r="D91" t="inlineStr">
        <is>
          <t>SKÅNE LÄN</t>
        </is>
      </c>
      <c r="E91" t="inlineStr">
        <is>
          <t>SJÖBO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52959-2024</t>
        </is>
      </c>
      <c r="B92" s="1" t="n">
        <v>45611</v>
      </c>
      <c r="C92" s="1" t="n">
        <v>46174</v>
      </c>
      <c r="D92" t="inlineStr">
        <is>
          <t>SKÅNE LÄN</t>
        </is>
      </c>
      <c r="E92" t="inlineStr">
        <is>
          <t>SJÖBO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49298-2023</t>
        </is>
      </c>
      <c r="B93" s="1" t="n">
        <v>45210.86210648148</v>
      </c>
      <c r="C93" s="1" t="n">
        <v>46174</v>
      </c>
      <c r="D93" t="inlineStr">
        <is>
          <t>SKÅNE LÄN</t>
        </is>
      </c>
      <c r="E93" t="inlineStr">
        <is>
          <t>SJÖBO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46174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1031-2025</t>
        </is>
      </c>
      <c r="B95" s="1" t="n">
        <v>45666.5195949074</v>
      </c>
      <c r="C95" s="1" t="n">
        <v>46174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46174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50815-2025</t>
        </is>
      </c>
      <c r="B97" s="1" t="n">
        <v>45946.52924768518</v>
      </c>
      <c r="C97" s="1" t="n">
        <v>46174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50816-2025</t>
        </is>
      </c>
      <c r="B98" s="1" t="n">
        <v>45946.53009259259</v>
      </c>
      <c r="C98" s="1" t="n">
        <v>46174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46174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46174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46174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46174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40463-2025</t>
        </is>
      </c>
      <c r="B103" s="1" t="n">
        <v>45895</v>
      </c>
      <c r="C103" s="1" t="n">
        <v>46174</v>
      </c>
      <c r="D103" t="inlineStr">
        <is>
          <t>SKÅNE LÄN</t>
        </is>
      </c>
      <c r="E103" t="inlineStr">
        <is>
          <t>SJÖBO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46174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46174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46174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46174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46174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48026-2021</t>
        </is>
      </c>
      <c r="B109" s="1" t="n">
        <v>44449</v>
      </c>
      <c r="C109" s="1" t="n">
        <v>46174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52958-2024</t>
        </is>
      </c>
      <c r="B110" s="1" t="n">
        <v>45611.26017361111</v>
      </c>
      <c r="C110" s="1" t="n">
        <v>46174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21973-2025</t>
        </is>
      </c>
      <c r="B111" s="1" t="n">
        <v>45784.6365162037</v>
      </c>
      <c r="C111" s="1" t="n">
        <v>46174</v>
      </c>
      <c r="D111" t="inlineStr">
        <is>
          <t>SKÅNE LÄN</t>
        </is>
      </c>
      <c r="E111" t="inlineStr">
        <is>
          <t>SJÖBO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21976-2025</t>
        </is>
      </c>
      <c r="B112" s="1" t="n">
        <v>45784.64052083333</v>
      </c>
      <c r="C112" s="1" t="n">
        <v>46174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19877-2024</t>
        </is>
      </c>
      <c r="B113" s="1" t="n">
        <v>45433</v>
      </c>
      <c r="C113" s="1" t="n">
        <v>46174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46174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24421-2026</t>
        </is>
      </c>
      <c r="B115" s="1" t="n">
        <v>46169</v>
      </c>
      <c r="C115" s="1" t="n">
        <v>46174</v>
      </c>
      <c r="D115" t="inlineStr">
        <is>
          <t>SKÅNE LÄN</t>
        </is>
      </c>
      <c r="E115" t="inlineStr">
        <is>
          <t>SJÖBO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8861-2025</t>
        </is>
      </c>
      <c r="B116" s="1" t="n">
        <v>45713</v>
      </c>
      <c r="C116" s="1" t="n">
        <v>46174</v>
      </c>
      <c r="D116" t="inlineStr">
        <is>
          <t>SKÅNE LÄN</t>
        </is>
      </c>
      <c r="E116" t="inlineStr">
        <is>
          <t>SJÖBO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45353-2024</t>
        </is>
      </c>
      <c r="B117" s="1" t="n">
        <v>45576.47909722223</v>
      </c>
      <c r="C117" s="1" t="n">
        <v>46174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44893-2024</t>
        </is>
      </c>
      <c r="B118" s="1" t="n">
        <v>45575.36310185185</v>
      </c>
      <c r="C118" s="1" t="n">
        <v>46174</v>
      </c>
      <c r="D118" t="inlineStr">
        <is>
          <t>SKÅNE LÄN</t>
        </is>
      </c>
      <c r="E118" t="inlineStr">
        <is>
          <t>SJÖBO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60900-2025</t>
        </is>
      </c>
      <c r="B119" s="1" t="n">
        <v>45999</v>
      </c>
      <c r="C119" s="1" t="n">
        <v>46174</v>
      </c>
      <c r="D119" t="inlineStr">
        <is>
          <t>SKÅNE LÄN</t>
        </is>
      </c>
      <c r="E119" t="inlineStr">
        <is>
          <t>SJÖBO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24833-2025</t>
        </is>
      </c>
      <c r="B120" s="1" t="n">
        <v>45799.45917824074</v>
      </c>
      <c r="C120" s="1" t="n">
        <v>46174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24830-2025</t>
        </is>
      </c>
      <c r="B121" s="1" t="n">
        <v>45799.45798611111</v>
      </c>
      <c r="C121" s="1" t="n">
        <v>46174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8859-2025</t>
        </is>
      </c>
      <c r="B122" s="1" t="n">
        <v>45713</v>
      </c>
      <c r="C122" s="1" t="n">
        <v>46174</v>
      </c>
      <c r="D122" t="inlineStr">
        <is>
          <t>SKÅNE LÄN</t>
        </is>
      </c>
      <c r="E122" t="inlineStr">
        <is>
          <t>SJÖBO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61431-2025</t>
        </is>
      </c>
      <c r="B123" s="1" t="n">
        <v>46001.55604166666</v>
      </c>
      <c r="C123" s="1" t="n">
        <v>46174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46174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44580-2023</t>
        </is>
      </c>
      <c r="B125" s="1" t="n">
        <v>45189</v>
      </c>
      <c r="C125" s="1" t="n">
        <v>46174</v>
      </c>
      <c r="D125" t="inlineStr">
        <is>
          <t>SKÅNE LÄN</t>
        </is>
      </c>
      <c r="E125" t="inlineStr">
        <is>
          <t>SJÖBO</t>
        </is>
      </c>
      <c r="F125" t="inlineStr">
        <is>
          <t>Kommuner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46174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46174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46174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16979-2025</t>
        </is>
      </c>
      <c r="B129" s="1" t="n">
        <v>45755</v>
      </c>
      <c r="C129" s="1" t="n">
        <v>46174</v>
      </c>
      <c r="D129" t="inlineStr">
        <is>
          <t>SKÅNE LÄN</t>
        </is>
      </c>
      <c r="E129" t="inlineStr">
        <is>
          <t>SJÖBO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29821-2025</t>
        </is>
      </c>
      <c r="B130" s="1" t="n">
        <v>45825.84996527778</v>
      </c>
      <c r="C130" s="1" t="n">
        <v>46174</v>
      </c>
      <c r="D130" t="inlineStr">
        <is>
          <t>SKÅNE LÄN</t>
        </is>
      </c>
      <c r="E130" t="inlineStr">
        <is>
          <t>SJÖBO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46174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46174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46174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3643-2026</t>
        </is>
      </c>
      <c r="B134" s="1" t="n">
        <v>46043.35827546296</v>
      </c>
      <c r="C134" s="1" t="n">
        <v>46174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5197-2026</t>
        </is>
      </c>
      <c r="B135" s="1" t="n">
        <v>46049.66547453704</v>
      </c>
      <c r="C135" s="1" t="n">
        <v>46174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5404-2026</t>
        </is>
      </c>
      <c r="B136" s="1" t="n">
        <v>46049</v>
      </c>
      <c r="C136" s="1" t="n">
        <v>46174</v>
      </c>
      <c r="D136" t="inlineStr">
        <is>
          <t>SKÅNE LÄN</t>
        </is>
      </c>
      <c r="E136" t="inlineStr">
        <is>
          <t>SJÖBO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7474-2026</t>
        </is>
      </c>
      <c r="B137" s="1" t="n">
        <v>46059.49254629629</v>
      </c>
      <c r="C137" s="1" t="n">
        <v>46174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34173-2025</t>
        </is>
      </c>
      <c r="B138" s="1" t="n">
        <v>45845.5909837963</v>
      </c>
      <c r="C138" s="1" t="n">
        <v>46174</v>
      </c>
      <c r="D138" t="inlineStr">
        <is>
          <t>SKÅNE LÄN</t>
        </is>
      </c>
      <c r="E138" t="inlineStr">
        <is>
          <t>SJÖBO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46174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34115-2025</t>
        </is>
      </c>
      <c r="B140" s="1" t="n">
        <v>45845.50957175926</v>
      </c>
      <c r="C140" s="1" t="n">
        <v>46174</v>
      </c>
      <c r="D140" t="inlineStr">
        <is>
          <t>SKÅNE LÄN</t>
        </is>
      </c>
      <c r="E140" t="inlineStr">
        <is>
          <t>SJÖBO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4663-2026</t>
        </is>
      </c>
      <c r="B141" s="1" t="n">
        <v>46048.4096875</v>
      </c>
      <c r="C141" s="1" t="n">
        <v>46174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1879-2025</t>
        </is>
      </c>
      <c r="B142" s="1" t="n">
        <v>45671</v>
      </c>
      <c r="C142" s="1" t="n">
        <v>46174</v>
      </c>
      <c r="D142" t="inlineStr">
        <is>
          <t>SKÅNE LÄN</t>
        </is>
      </c>
      <c r="E142" t="inlineStr">
        <is>
          <t>SJÖBO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35454-2025</t>
        </is>
      </c>
      <c r="B143" s="1" t="n">
        <v>45855</v>
      </c>
      <c r="C143" s="1" t="n">
        <v>46174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34780-2025</t>
        </is>
      </c>
      <c r="B144" s="1" t="n">
        <v>45848</v>
      </c>
      <c r="C144" s="1" t="n">
        <v>46174</v>
      </c>
      <c r="D144" t="inlineStr">
        <is>
          <t>SKÅNE LÄN</t>
        </is>
      </c>
      <c r="E144" t="inlineStr">
        <is>
          <t>SJÖBO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62807-2025</t>
        </is>
      </c>
      <c r="B145" s="1" t="n">
        <v>46008</v>
      </c>
      <c r="C145" s="1" t="n">
        <v>46174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62798-2025</t>
        </is>
      </c>
      <c r="B146" s="1" t="n">
        <v>46008</v>
      </c>
      <c r="C146" s="1" t="n">
        <v>46174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36347-2025</t>
        </is>
      </c>
      <c r="B147" s="1" t="n">
        <v>45868.47796296296</v>
      </c>
      <c r="C147" s="1" t="n">
        <v>46174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14572-2026</t>
        </is>
      </c>
      <c r="B148" s="1" t="n">
        <v>46101.27979166667</v>
      </c>
      <c r="C148" s="1" t="n">
        <v>46174</v>
      </c>
      <c r="D148" t="inlineStr">
        <is>
          <t>SKÅNE LÄN</t>
        </is>
      </c>
      <c r="E148" t="inlineStr">
        <is>
          <t>SJÖBO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14573-2026</t>
        </is>
      </c>
      <c r="B149" s="1" t="n">
        <v>46101.28510416667</v>
      </c>
      <c r="C149" s="1" t="n">
        <v>46174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21479-2026</t>
        </is>
      </c>
      <c r="B150" s="1" t="n">
        <v>46148</v>
      </c>
      <c r="C150" s="1" t="n">
        <v>46174</v>
      </c>
      <c r="D150" t="inlineStr">
        <is>
          <t>SKÅNE LÄN</t>
        </is>
      </c>
      <c r="E150" t="inlineStr">
        <is>
          <t>SJÖBO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2026-06-01T10:51:27Z</dcterms:created>
  <dcterms:modified xmlns:dcterms="http://purl.org/dc/terms/" xmlns:xsi="http://www.w3.org/2001/XMLSchema-instance" xsi:type="dcterms:W3CDTF">2026-06-01T10:51:28Z</dcterms:modified>
</cp:coreProperties>
</file>