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49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17778-2025</t>
        </is>
      </c>
      <c r="B2" s="1" t="n">
        <v>45758</v>
      </c>
      <c r="C2" s="1" t="n">
        <v>46073</v>
      </c>
      <c r="D2" t="inlineStr">
        <is>
          <t>SKÅNE LÄN</t>
        </is>
      </c>
      <c r="E2" t="inlineStr">
        <is>
          <t>SJÖBO</t>
        </is>
      </c>
      <c r="G2" t="n">
        <v>12.5</v>
      </c>
      <c r="H2" t="n">
        <v>2</v>
      </c>
      <c r="I2" t="n">
        <v>0</v>
      </c>
      <c r="J2" t="n">
        <v>4</v>
      </c>
      <c r="K2" t="n">
        <v>1</v>
      </c>
      <c r="L2" t="n">
        <v>0</v>
      </c>
      <c r="M2" t="n">
        <v>0</v>
      </c>
      <c r="N2" t="n">
        <v>0</v>
      </c>
      <c r="O2" t="n">
        <v>5</v>
      </c>
      <c r="P2" t="n">
        <v>1</v>
      </c>
      <c r="Q2" t="n">
        <v>7</v>
      </c>
      <c r="R2" s="2" t="inlineStr">
        <is>
          <t>Småvänderot
Granspira
Majviva
Skogslysing
Ängsstarr
Dactylorhiza incarnata subsp. incarnata
Dubbelnycklar</t>
        </is>
      </c>
      <c r="S2">
        <f>HYPERLINK("https://klasma.github.io/Logging_1265/artfynd/A 17778-2025 artfynd.xlsx", "A 17778-2025")</f>
        <v/>
      </c>
      <c r="T2">
        <f>HYPERLINK("https://klasma.github.io/Logging_1265/kartor/A 17778-2025 karta.png", "A 17778-2025")</f>
        <v/>
      </c>
      <c r="V2">
        <f>HYPERLINK("https://klasma.github.io/Logging_1265/klagomål/A 17778-2025 FSC-klagomål.docx", "A 17778-2025")</f>
        <v/>
      </c>
      <c r="W2">
        <f>HYPERLINK("https://klasma.github.io/Logging_1265/klagomålsmail/A 17778-2025 FSC-klagomål mail.docx", "A 17778-2025")</f>
        <v/>
      </c>
      <c r="X2">
        <f>HYPERLINK("https://klasma.github.io/Logging_1265/tillsyn/A 17778-2025 tillsynsbegäran.docx", "A 17778-2025")</f>
        <v/>
      </c>
      <c r="Y2">
        <f>HYPERLINK("https://klasma.github.io/Logging_1265/tillsynsmail/A 17778-2025 tillsynsbegäran mail.docx", "A 17778-2025")</f>
        <v/>
      </c>
    </row>
    <row r="3" ht="15" customHeight="1">
      <c r="A3" t="inlineStr">
        <is>
          <t>A 22337-2024</t>
        </is>
      </c>
      <c r="B3" s="1" t="n">
        <v>45446</v>
      </c>
      <c r="C3" s="1" t="n">
        <v>46073</v>
      </c>
      <c r="D3" t="inlineStr">
        <is>
          <t>SKÅNE LÄN</t>
        </is>
      </c>
      <c r="E3" t="inlineStr">
        <is>
          <t>SJÖBO</t>
        </is>
      </c>
      <c r="G3" t="n">
        <v>12.6</v>
      </c>
      <c r="H3" t="n">
        <v>1</v>
      </c>
      <c r="I3" t="n">
        <v>3</v>
      </c>
      <c r="J3" t="n">
        <v>0</v>
      </c>
      <c r="K3" t="n">
        <v>1</v>
      </c>
      <c r="L3" t="n">
        <v>0</v>
      </c>
      <c r="M3" t="n">
        <v>0</v>
      </c>
      <c r="N3" t="n">
        <v>0</v>
      </c>
      <c r="O3" t="n">
        <v>1</v>
      </c>
      <c r="P3" t="n">
        <v>1</v>
      </c>
      <c r="Q3" t="n">
        <v>4</v>
      </c>
      <c r="R3" s="2" t="inlineStr">
        <is>
          <t>Fläcklungört
Kransrams
Myskmadra
Skogsknipprot</t>
        </is>
      </c>
      <c r="S3">
        <f>HYPERLINK("https://klasma.github.io/Logging_1265/artfynd/A 22337-2024 artfynd.xlsx", "A 22337-2024")</f>
        <v/>
      </c>
      <c r="T3">
        <f>HYPERLINK("https://klasma.github.io/Logging_1265/kartor/A 22337-2024 karta.png", "A 22337-2024")</f>
        <v/>
      </c>
      <c r="V3">
        <f>HYPERLINK("https://klasma.github.io/Logging_1265/klagomål/A 22337-2024 FSC-klagomål.docx", "A 22337-2024")</f>
        <v/>
      </c>
      <c r="W3">
        <f>HYPERLINK("https://klasma.github.io/Logging_1265/klagomålsmail/A 22337-2024 FSC-klagomål mail.docx", "A 22337-2024")</f>
        <v/>
      </c>
      <c r="X3">
        <f>HYPERLINK("https://klasma.github.io/Logging_1265/tillsyn/A 22337-2024 tillsynsbegäran.docx", "A 22337-2024")</f>
        <v/>
      </c>
      <c r="Y3">
        <f>HYPERLINK("https://klasma.github.io/Logging_1265/tillsynsmail/A 22337-2024 tillsynsbegäran mail.docx", "A 22337-2024")</f>
        <v/>
      </c>
    </row>
    <row r="4" ht="15" customHeight="1">
      <c r="A4" t="inlineStr">
        <is>
          <t>A 60543-2023</t>
        </is>
      </c>
      <c r="B4" s="1" t="n">
        <v>45259</v>
      </c>
      <c r="C4" s="1" t="n">
        <v>46073</v>
      </c>
      <c r="D4" t="inlineStr">
        <is>
          <t>SKÅNE LÄN</t>
        </is>
      </c>
      <c r="E4" t="inlineStr">
        <is>
          <t>SJÖBO</t>
        </is>
      </c>
      <c r="G4" t="n">
        <v>4.6</v>
      </c>
      <c r="H4" t="n">
        <v>1</v>
      </c>
      <c r="I4" t="n">
        <v>3</v>
      </c>
      <c r="J4" t="n">
        <v>1</v>
      </c>
      <c r="K4" t="n">
        <v>0</v>
      </c>
      <c r="L4" t="n">
        <v>0</v>
      </c>
      <c r="M4" t="n">
        <v>0</v>
      </c>
      <c r="N4" t="n">
        <v>0</v>
      </c>
      <c r="O4" t="n">
        <v>1</v>
      </c>
      <c r="P4" t="n">
        <v>0</v>
      </c>
      <c r="Q4" t="n">
        <v>4</v>
      </c>
      <c r="R4" s="2" t="inlineStr">
        <is>
          <t>Trollfibbla
Kransrams
Stor häxört
Tvåblad</t>
        </is>
      </c>
      <c r="S4">
        <f>HYPERLINK("https://klasma.github.io/Logging_1265/artfynd/A 60543-2023 artfynd.xlsx", "A 60543-2023")</f>
        <v/>
      </c>
      <c r="T4">
        <f>HYPERLINK("https://klasma.github.io/Logging_1265/kartor/A 60543-2023 karta.png", "A 60543-2023")</f>
        <v/>
      </c>
      <c r="V4">
        <f>HYPERLINK("https://klasma.github.io/Logging_1265/klagomål/A 60543-2023 FSC-klagomål.docx", "A 60543-2023")</f>
        <v/>
      </c>
      <c r="W4">
        <f>HYPERLINK("https://klasma.github.io/Logging_1265/klagomålsmail/A 60543-2023 FSC-klagomål mail.docx", "A 60543-2023")</f>
        <v/>
      </c>
      <c r="X4">
        <f>HYPERLINK("https://klasma.github.io/Logging_1265/tillsyn/A 60543-2023 tillsynsbegäran.docx", "A 60543-2023")</f>
        <v/>
      </c>
      <c r="Y4">
        <f>HYPERLINK("https://klasma.github.io/Logging_1265/tillsynsmail/A 60543-2023 tillsynsbegäran mail.docx", "A 60543-2023")</f>
        <v/>
      </c>
    </row>
    <row r="5" ht="15" customHeight="1">
      <c r="A5" t="inlineStr">
        <is>
          <t>A 28929-2022</t>
        </is>
      </c>
      <c r="B5" s="1" t="n">
        <v>44749</v>
      </c>
      <c r="C5" s="1" t="n">
        <v>46073</v>
      </c>
      <c r="D5" t="inlineStr">
        <is>
          <t>SKÅNE LÄN</t>
        </is>
      </c>
      <c r="E5" t="inlineStr">
        <is>
          <t>SJÖBO</t>
        </is>
      </c>
      <c r="G5" t="n">
        <v>1</v>
      </c>
      <c r="H5" t="n">
        <v>2</v>
      </c>
      <c r="I5" t="n">
        <v>0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2</v>
      </c>
      <c r="R5" s="2" t="inlineStr">
        <is>
          <t>Lövgroda
Större vattensalamander</t>
        </is>
      </c>
      <c r="S5">
        <f>HYPERLINK("https://klasma.github.io/Logging_1265/artfynd/A 28929-2022 artfynd.xlsx", "A 28929-2022")</f>
        <v/>
      </c>
      <c r="T5">
        <f>HYPERLINK("https://klasma.github.io/Logging_1265/kartor/A 28929-2022 karta.png", "A 28929-2022")</f>
        <v/>
      </c>
      <c r="V5">
        <f>HYPERLINK("https://klasma.github.io/Logging_1265/klagomål/A 28929-2022 FSC-klagomål.docx", "A 28929-2022")</f>
        <v/>
      </c>
      <c r="W5">
        <f>HYPERLINK("https://klasma.github.io/Logging_1265/klagomålsmail/A 28929-2022 FSC-klagomål mail.docx", "A 28929-2022")</f>
        <v/>
      </c>
      <c r="X5">
        <f>HYPERLINK("https://klasma.github.io/Logging_1265/tillsyn/A 28929-2022 tillsynsbegäran.docx", "A 28929-2022")</f>
        <v/>
      </c>
      <c r="Y5">
        <f>HYPERLINK("https://klasma.github.io/Logging_1265/tillsynsmail/A 28929-2022 tillsynsbegäran mail.docx", "A 28929-2022")</f>
        <v/>
      </c>
    </row>
    <row r="6" ht="15" customHeight="1">
      <c r="A6" t="inlineStr">
        <is>
          <t>A 51368-2025</t>
        </is>
      </c>
      <c r="B6" s="1" t="n">
        <v>45950.44706018519</v>
      </c>
      <c r="C6" s="1" t="n">
        <v>46073</v>
      </c>
      <c r="D6" t="inlineStr">
        <is>
          <t>SKÅNE LÄN</t>
        </is>
      </c>
      <c r="E6" t="inlineStr">
        <is>
          <t>SJÖBO</t>
        </is>
      </c>
      <c r="G6" t="n">
        <v>2</v>
      </c>
      <c r="H6" t="n">
        <v>2</v>
      </c>
      <c r="I6" t="n">
        <v>0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2</v>
      </c>
      <c r="R6" s="2" t="inlineStr">
        <is>
          <t>Större vattensalamander
Mindre vattensalamander</t>
        </is>
      </c>
      <c r="S6">
        <f>HYPERLINK("https://klasma.github.io/Logging_1265/artfynd/A 51368-2025 artfynd.xlsx", "A 51368-2025")</f>
        <v/>
      </c>
      <c r="T6">
        <f>HYPERLINK("https://klasma.github.io/Logging_1265/kartor/A 51368-2025 karta.png", "A 51368-2025")</f>
        <v/>
      </c>
      <c r="V6">
        <f>HYPERLINK("https://klasma.github.io/Logging_1265/klagomål/A 51368-2025 FSC-klagomål.docx", "A 51368-2025")</f>
        <v/>
      </c>
      <c r="W6">
        <f>HYPERLINK("https://klasma.github.io/Logging_1265/klagomålsmail/A 51368-2025 FSC-klagomål mail.docx", "A 51368-2025")</f>
        <v/>
      </c>
      <c r="X6">
        <f>HYPERLINK("https://klasma.github.io/Logging_1265/tillsyn/A 51368-2025 tillsynsbegäran.docx", "A 51368-2025")</f>
        <v/>
      </c>
      <c r="Y6">
        <f>HYPERLINK("https://klasma.github.io/Logging_1265/tillsynsmail/A 51368-2025 tillsynsbegäran mail.docx", "A 51368-2025")</f>
        <v/>
      </c>
    </row>
    <row r="7" ht="15" customHeight="1">
      <c r="A7" t="inlineStr">
        <is>
          <t>A 56294-2022</t>
        </is>
      </c>
      <c r="B7" s="1" t="n">
        <v>44887</v>
      </c>
      <c r="C7" s="1" t="n">
        <v>46073</v>
      </c>
      <c r="D7" t="inlineStr">
        <is>
          <t>SKÅNE LÄN</t>
        </is>
      </c>
      <c r="E7" t="inlineStr">
        <is>
          <t>SJÖBO</t>
        </is>
      </c>
      <c r="G7" t="n">
        <v>4.6</v>
      </c>
      <c r="H7" t="n">
        <v>0</v>
      </c>
      <c r="I7" t="n">
        <v>2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2</v>
      </c>
      <c r="R7" s="2" t="inlineStr">
        <is>
          <t>Myskmadra
Strävlosta</t>
        </is>
      </c>
      <c r="S7">
        <f>HYPERLINK("https://klasma.github.io/Logging_1265/artfynd/A 56294-2022 artfynd.xlsx", "A 56294-2022")</f>
        <v/>
      </c>
      <c r="T7">
        <f>HYPERLINK("https://klasma.github.io/Logging_1265/kartor/A 56294-2022 karta.png", "A 56294-2022")</f>
        <v/>
      </c>
      <c r="V7">
        <f>HYPERLINK("https://klasma.github.io/Logging_1265/klagomål/A 56294-2022 FSC-klagomål.docx", "A 56294-2022")</f>
        <v/>
      </c>
      <c r="W7">
        <f>HYPERLINK("https://klasma.github.io/Logging_1265/klagomålsmail/A 56294-2022 FSC-klagomål mail.docx", "A 56294-2022")</f>
        <v/>
      </c>
      <c r="X7">
        <f>HYPERLINK("https://klasma.github.io/Logging_1265/tillsyn/A 56294-2022 tillsynsbegäran.docx", "A 56294-2022")</f>
        <v/>
      </c>
      <c r="Y7">
        <f>HYPERLINK("https://klasma.github.io/Logging_1265/tillsynsmail/A 56294-2022 tillsynsbegäran mail.docx", "A 56294-2022")</f>
        <v/>
      </c>
    </row>
    <row r="8" ht="15" customHeight="1">
      <c r="A8" t="inlineStr">
        <is>
          <t>A 26736-2023</t>
        </is>
      </c>
      <c r="B8" s="1" t="n">
        <v>45090</v>
      </c>
      <c r="C8" s="1" t="n">
        <v>46073</v>
      </c>
      <c r="D8" t="inlineStr">
        <is>
          <t>SKÅNE LÄN</t>
        </is>
      </c>
      <c r="E8" t="inlineStr">
        <is>
          <t>SJÖBO</t>
        </is>
      </c>
      <c r="G8" t="n">
        <v>8.300000000000001</v>
      </c>
      <c r="H8" t="n">
        <v>0</v>
      </c>
      <c r="I8" t="n">
        <v>0</v>
      </c>
      <c r="J8" t="n">
        <v>1</v>
      </c>
      <c r="K8" t="n">
        <v>1</v>
      </c>
      <c r="L8" t="n">
        <v>0</v>
      </c>
      <c r="M8" t="n">
        <v>0</v>
      </c>
      <c r="N8" t="n">
        <v>0</v>
      </c>
      <c r="O8" t="n">
        <v>2</v>
      </c>
      <c r="P8" t="n">
        <v>1</v>
      </c>
      <c r="Q8" t="n">
        <v>2</v>
      </c>
      <c r="R8" s="2" t="inlineStr">
        <is>
          <t>Fläcklungört
Månviol</t>
        </is>
      </c>
      <c r="S8">
        <f>HYPERLINK("https://klasma.github.io/Logging_1265/artfynd/A 26736-2023 artfynd.xlsx", "A 26736-2023")</f>
        <v/>
      </c>
      <c r="T8">
        <f>HYPERLINK("https://klasma.github.io/Logging_1265/kartor/A 26736-2023 karta.png", "A 26736-2023")</f>
        <v/>
      </c>
      <c r="V8">
        <f>HYPERLINK("https://klasma.github.io/Logging_1265/klagomål/A 26736-2023 FSC-klagomål.docx", "A 26736-2023")</f>
        <v/>
      </c>
      <c r="W8">
        <f>HYPERLINK("https://klasma.github.io/Logging_1265/klagomålsmail/A 26736-2023 FSC-klagomål mail.docx", "A 26736-2023")</f>
        <v/>
      </c>
      <c r="X8">
        <f>HYPERLINK("https://klasma.github.io/Logging_1265/tillsyn/A 26736-2023 tillsynsbegäran.docx", "A 26736-2023")</f>
        <v/>
      </c>
      <c r="Y8">
        <f>HYPERLINK("https://klasma.github.io/Logging_1265/tillsynsmail/A 26736-2023 tillsynsbegäran mail.docx", "A 26736-2023")</f>
        <v/>
      </c>
    </row>
    <row r="9" ht="15" customHeight="1">
      <c r="A9" t="inlineStr">
        <is>
          <t>A 30452-2025</t>
        </is>
      </c>
      <c r="B9" s="1" t="n">
        <v>45827</v>
      </c>
      <c r="C9" s="1" t="n">
        <v>46073</v>
      </c>
      <c r="D9" t="inlineStr">
        <is>
          <t>SKÅNE LÄN</t>
        </is>
      </c>
      <c r="E9" t="inlineStr">
        <is>
          <t>SJÖBO</t>
        </is>
      </c>
      <c r="G9" t="n">
        <v>8.699999999999999</v>
      </c>
      <c r="H9" t="n">
        <v>0</v>
      </c>
      <c r="I9" t="n">
        <v>0</v>
      </c>
      <c r="J9" t="n">
        <v>1</v>
      </c>
      <c r="K9" t="n">
        <v>0</v>
      </c>
      <c r="L9" t="n">
        <v>0</v>
      </c>
      <c r="M9" t="n">
        <v>0</v>
      </c>
      <c r="N9" t="n">
        <v>0</v>
      </c>
      <c r="O9" t="n">
        <v>1</v>
      </c>
      <c r="P9" t="n">
        <v>0</v>
      </c>
      <c r="Q9" t="n">
        <v>1</v>
      </c>
      <c r="R9" s="2" t="inlineStr">
        <is>
          <t>Desmeknopp</t>
        </is>
      </c>
      <c r="S9">
        <f>HYPERLINK("https://klasma.github.io/Logging_1265/artfynd/A 30452-2025 artfynd.xlsx", "A 30452-2025")</f>
        <v/>
      </c>
      <c r="T9">
        <f>HYPERLINK("https://klasma.github.io/Logging_1265/kartor/A 30452-2025 karta.png", "A 30452-2025")</f>
        <v/>
      </c>
      <c r="V9">
        <f>HYPERLINK("https://klasma.github.io/Logging_1265/klagomål/A 30452-2025 FSC-klagomål.docx", "A 30452-2025")</f>
        <v/>
      </c>
      <c r="W9">
        <f>HYPERLINK("https://klasma.github.io/Logging_1265/klagomålsmail/A 30452-2025 FSC-klagomål mail.docx", "A 30452-2025")</f>
        <v/>
      </c>
      <c r="X9">
        <f>HYPERLINK("https://klasma.github.io/Logging_1265/tillsyn/A 30452-2025 tillsynsbegäran.docx", "A 30452-2025")</f>
        <v/>
      </c>
      <c r="Y9">
        <f>HYPERLINK("https://klasma.github.io/Logging_1265/tillsynsmail/A 30452-2025 tillsynsbegäran mail.docx", "A 30452-2025")</f>
        <v/>
      </c>
    </row>
    <row r="10" ht="15" customHeight="1">
      <c r="A10" t="inlineStr">
        <is>
          <t>A 31678-2025</t>
        </is>
      </c>
      <c r="B10" s="1" t="n">
        <v>45834</v>
      </c>
      <c r="C10" s="1" t="n">
        <v>46073</v>
      </c>
      <c r="D10" t="inlineStr">
        <is>
          <t>SKÅNE LÄN</t>
        </is>
      </c>
      <c r="E10" t="inlineStr">
        <is>
          <t>SJÖBO</t>
        </is>
      </c>
      <c r="G10" t="n">
        <v>3.5</v>
      </c>
      <c r="H10" t="n">
        <v>1</v>
      </c>
      <c r="I10" t="n">
        <v>0</v>
      </c>
      <c r="J10" t="n">
        <v>0</v>
      </c>
      <c r="K10" t="n">
        <v>1</v>
      </c>
      <c r="L10" t="n">
        <v>0</v>
      </c>
      <c r="M10" t="n">
        <v>0</v>
      </c>
      <c r="N10" t="n">
        <v>0</v>
      </c>
      <c r="O10" t="n">
        <v>1</v>
      </c>
      <c r="P10" t="n">
        <v>1</v>
      </c>
      <c r="Q10" t="n">
        <v>1</v>
      </c>
      <c r="R10" s="2" t="inlineStr">
        <is>
          <t>Hedblomster</t>
        </is>
      </c>
      <c r="S10">
        <f>HYPERLINK("https://klasma.github.io/Logging_1265/artfynd/A 31678-2025 artfynd.xlsx", "A 31678-2025")</f>
        <v/>
      </c>
      <c r="T10">
        <f>HYPERLINK("https://klasma.github.io/Logging_1265/kartor/A 31678-2025 karta.png", "A 31678-2025")</f>
        <v/>
      </c>
      <c r="V10">
        <f>HYPERLINK("https://klasma.github.io/Logging_1265/klagomål/A 31678-2025 FSC-klagomål.docx", "A 31678-2025")</f>
        <v/>
      </c>
      <c r="W10">
        <f>HYPERLINK("https://klasma.github.io/Logging_1265/klagomålsmail/A 31678-2025 FSC-klagomål mail.docx", "A 31678-2025")</f>
        <v/>
      </c>
      <c r="X10">
        <f>HYPERLINK("https://klasma.github.io/Logging_1265/tillsyn/A 31678-2025 tillsynsbegäran.docx", "A 31678-2025")</f>
        <v/>
      </c>
      <c r="Y10">
        <f>HYPERLINK("https://klasma.github.io/Logging_1265/tillsynsmail/A 31678-2025 tillsynsbegäran mail.docx", "A 31678-2025")</f>
        <v/>
      </c>
    </row>
    <row r="11" ht="15" customHeight="1">
      <c r="A11" t="inlineStr">
        <is>
          <t>A 35258-2024</t>
        </is>
      </c>
      <c r="B11" s="1" t="n">
        <v>45530</v>
      </c>
      <c r="C11" s="1" t="n">
        <v>46073</v>
      </c>
      <c r="D11" t="inlineStr">
        <is>
          <t>SKÅNE LÄN</t>
        </is>
      </c>
      <c r="E11" t="inlineStr">
        <is>
          <t>SJÖBO</t>
        </is>
      </c>
      <c r="G11" t="n">
        <v>16.6</v>
      </c>
      <c r="H11" t="n">
        <v>0</v>
      </c>
      <c r="I11" t="n">
        <v>0</v>
      </c>
      <c r="J11" t="n">
        <v>0</v>
      </c>
      <c r="K11" t="n">
        <v>0</v>
      </c>
      <c r="L11" t="n">
        <v>1</v>
      </c>
      <c r="M11" t="n">
        <v>0</v>
      </c>
      <c r="N11" t="n">
        <v>0</v>
      </c>
      <c r="O11" t="n">
        <v>1</v>
      </c>
      <c r="P11" t="n">
        <v>1</v>
      </c>
      <c r="Q11" t="n">
        <v>1</v>
      </c>
      <c r="R11" s="2" t="inlineStr">
        <is>
          <t>Ask</t>
        </is>
      </c>
      <c r="S11">
        <f>HYPERLINK("https://klasma.github.io/Logging_1265/artfynd/A 35258-2024 artfynd.xlsx", "A 35258-2024")</f>
        <v/>
      </c>
      <c r="T11">
        <f>HYPERLINK("https://klasma.github.io/Logging_1265/kartor/A 35258-2024 karta.png", "A 35258-2024")</f>
        <v/>
      </c>
      <c r="V11">
        <f>HYPERLINK("https://klasma.github.io/Logging_1265/klagomål/A 35258-2024 FSC-klagomål.docx", "A 35258-2024")</f>
        <v/>
      </c>
      <c r="W11">
        <f>HYPERLINK("https://klasma.github.io/Logging_1265/klagomålsmail/A 35258-2024 FSC-klagomål mail.docx", "A 35258-2024")</f>
        <v/>
      </c>
      <c r="X11">
        <f>HYPERLINK("https://klasma.github.io/Logging_1265/tillsyn/A 35258-2024 tillsynsbegäran.docx", "A 35258-2024")</f>
        <v/>
      </c>
      <c r="Y11">
        <f>HYPERLINK("https://klasma.github.io/Logging_1265/tillsynsmail/A 35258-2024 tillsynsbegäran mail.docx", "A 35258-2024")</f>
        <v/>
      </c>
    </row>
    <row r="12" ht="15" customHeight="1">
      <c r="A12" t="inlineStr">
        <is>
          <t>A 5166-2026</t>
        </is>
      </c>
      <c r="B12" s="1" t="n">
        <v>46049.62539351852</v>
      </c>
      <c r="C12" s="1" t="n">
        <v>46073</v>
      </c>
      <c r="D12" t="inlineStr">
        <is>
          <t>SKÅNE LÄN</t>
        </is>
      </c>
      <c r="E12" t="inlineStr">
        <is>
          <t>SJÖBO</t>
        </is>
      </c>
      <c r="F12" t="inlineStr">
        <is>
          <t>Övriga Aktiebolag</t>
        </is>
      </c>
      <c r="G12" t="n">
        <v>8.5</v>
      </c>
      <c r="H12" t="n">
        <v>0</v>
      </c>
      <c r="I12" t="n">
        <v>1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1</v>
      </c>
      <c r="R12" s="2" t="inlineStr">
        <is>
          <t>Blomkålssvamp</t>
        </is>
      </c>
      <c r="S12">
        <f>HYPERLINK("https://klasma.github.io/Logging_1265/artfynd/A 5166-2026 artfynd.xlsx", "A 5166-2026")</f>
        <v/>
      </c>
      <c r="T12">
        <f>HYPERLINK("https://klasma.github.io/Logging_1265/kartor/A 5166-2026 karta.png", "A 5166-2026")</f>
        <v/>
      </c>
      <c r="V12">
        <f>HYPERLINK("https://klasma.github.io/Logging_1265/klagomål/A 5166-2026 FSC-klagomål.docx", "A 5166-2026")</f>
        <v/>
      </c>
      <c r="W12">
        <f>HYPERLINK("https://klasma.github.io/Logging_1265/klagomålsmail/A 5166-2026 FSC-klagomål mail.docx", "A 5166-2026")</f>
        <v/>
      </c>
      <c r="X12">
        <f>HYPERLINK("https://klasma.github.io/Logging_1265/tillsyn/A 5166-2026 tillsynsbegäran.docx", "A 5166-2026")</f>
        <v/>
      </c>
      <c r="Y12">
        <f>HYPERLINK("https://klasma.github.io/Logging_1265/tillsynsmail/A 5166-2026 tillsynsbegäran mail.docx", "A 5166-2026")</f>
        <v/>
      </c>
    </row>
    <row r="13" ht="15" customHeight="1">
      <c r="A13" t="inlineStr">
        <is>
          <t>A 3765-2026</t>
        </is>
      </c>
      <c r="B13" s="1" t="n">
        <v>46043</v>
      </c>
      <c r="C13" s="1" t="n">
        <v>46073</v>
      </c>
      <c r="D13" t="inlineStr">
        <is>
          <t>SKÅNE LÄN</t>
        </is>
      </c>
      <c r="E13" t="inlineStr">
        <is>
          <t>SJÖBO</t>
        </is>
      </c>
      <c r="G13" t="n">
        <v>5.6</v>
      </c>
      <c r="H13" t="n">
        <v>0</v>
      </c>
      <c r="I13" t="n">
        <v>0</v>
      </c>
      <c r="J13" t="n">
        <v>0</v>
      </c>
      <c r="K13" t="n">
        <v>1</v>
      </c>
      <c r="L13" t="n">
        <v>0</v>
      </c>
      <c r="M13" t="n">
        <v>0</v>
      </c>
      <c r="N13" t="n">
        <v>0</v>
      </c>
      <c r="O13" t="n">
        <v>1</v>
      </c>
      <c r="P13" t="n">
        <v>1</v>
      </c>
      <c r="Q13" t="n">
        <v>1</v>
      </c>
      <c r="R13" s="2" t="inlineStr">
        <is>
          <t>Fläcklungört</t>
        </is>
      </c>
      <c r="S13">
        <f>HYPERLINK("https://klasma.github.io/Logging_1265/artfynd/A 3765-2026 artfynd.xlsx", "A 3765-2026")</f>
        <v/>
      </c>
      <c r="T13">
        <f>HYPERLINK("https://klasma.github.io/Logging_1265/kartor/A 3765-2026 karta.png", "A 3765-2026")</f>
        <v/>
      </c>
      <c r="V13">
        <f>HYPERLINK("https://klasma.github.io/Logging_1265/klagomål/A 3765-2026 FSC-klagomål.docx", "A 3765-2026")</f>
        <v/>
      </c>
      <c r="W13">
        <f>HYPERLINK("https://klasma.github.io/Logging_1265/klagomålsmail/A 3765-2026 FSC-klagomål mail.docx", "A 3765-2026")</f>
        <v/>
      </c>
      <c r="X13">
        <f>HYPERLINK("https://klasma.github.io/Logging_1265/tillsyn/A 3765-2026 tillsynsbegäran.docx", "A 3765-2026")</f>
        <v/>
      </c>
      <c r="Y13">
        <f>HYPERLINK("https://klasma.github.io/Logging_1265/tillsynsmail/A 3765-2026 tillsynsbegäran mail.docx", "A 3765-2026")</f>
        <v/>
      </c>
    </row>
    <row r="14" ht="15" customHeight="1">
      <c r="A14" t="inlineStr">
        <is>
          <t>A 71055-2021</t>
        </is>
      </c>
      <c r="B14" s="1" t="n">
        <v>44538</v>
      </c>
      <c r="C14" s="1" t="n">
        <v>46073</v>
      </c>
      <c r="D14" t="inlineStr">
        <is>
          <t>SKÅNE LÄN</t>
        </is>
      </c>
      <c r="E14" t="inlineStr">
        <is>
          <t>SJÖBO</t>
        </is>
      </c>
      <c r="G14" t="n">
        <v>7.2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1</v>
      </c>
      <c r="N14" t="n">
        <v>0</v>
      </c>
      <c r="O14" t="n">
        <v>1</v>
      </c>
      <c r="P14" t="n">
        <v>1</v>
      </c>
      <c r="Q14" t="n">
        <v>1</v>
      </c>
      <c r="R14" s="2" t="inlineStr">
        <is>
          <t>Skogsalm</t>
        </is>
      </c>
      <c r="S14">
        <f>HYPERLINK("https://klasma.github.io/Logging_1265/artfynd/A 71055-2021 artfynd.xlsx", "A 71055-2021")</f>
        <v/>
      </c>
      <c r="T14">
        <f>HYPERLINK("https://klasma.github.io/Logging_1265/kartor/A 71055-2021 karta.png", "A 71055-2021")</f>
        <v/>
      </c>
      <c r="V14">
        <f>HYPERLINK("https://klasma.github.io/Logging_1265/klagomål/A 71055-2021 FSC-klagomål.docx", "A 71055-2021")</f>
        <v/>
      </c>
      <c r="W14">
        <f>HYPERLINK("https://klasma.github.io/Logging_1265/klagomålsmail/A 71055-2021 FSC-klagomål mail.docx", "A 71055-2021")</f>
        <v/>
      </c>
      <c r="X14">
        <f>HYPERLINK("https://klasma.github.io/Logging_1265/tillsyn/A 71055-2021 tillsynsbegäran.docx", "A 71055-2021")</f>
        <v/>
      </c>
      <c r="Y14">
        <f>HYPERLINK("https://klasma.github.io/Logging_1265/tillsynsmail/A 71055-2021 tillsynsbegäran mail.docx", "A 71055-2021")</f>
        <v/>
      </c>
    </row>
    <row r="15" ht="15" customHeight="1">
      <c r="A15" t="inlineStr">
        <is>
          <t>A 59610-2023</t>
        </is>
      </c>
      <c r="B15" s="1" t="n">
        <v>45253</v>
      </c>
      <c r="C15" s="1" t="n">
        <v>46073</v>
      </c>
      <c r="D15" t="inlineStr">
        <is>
          <t>SKÅNE LÄN</t>
        </is>
      </c>
      <c r="E15" t="inlineStr">
        <is>
          <t>SJÖBO</t>
        </is>
      </c>
      <c r="G15" t="n">
        <v>2.4</v>
      </c>
      <c r="H15" t="n">
        <v>1</v>
      </c>
      <c r="I15" t="n">
        <v>1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1</v>
      </c>
      <c r="R15" s="2" t="inlineStr">
        <is>
          <t>Ekoxe</t>
        </is>
      </c>
      <c r="S15">
        <f>HYPERLINK("https://klasma.github.io/Logging_1265/artfynd/A 59610-2023 artfynd.xlsx", "A 59610-2023")</f>
        <v/>
      </c>
      <c r="T15">
        <f>HYPERLINK("https://klasma.github.io/Logging_1265/kartor/A 59610-2023 karta.png", "A 59610-2023")</f>
        <v/>
      </c>
      <c r="V15">
        <f>HYPERLINK("https://klasma.github.io/Logging_1265/klagomål/A 59610-2023 FSC-klagomål.docx", "A 59610-2023")</f>
        <v/>
      </c>
      <c r="W15">
        <f>HYPERLINK("https://klasma.github.io/Logging_1265/klagomålsmail/A 59610-2023 FSC-klagomål mail.docx", "A 59610-2023")</f>
        <v/>
      </c>
      <c r="X15">
        <f>HYPERLINK("https://klasma.github.io/Logging_1265/tillsyn/A 59610-2023 tillsynsbegäran.docx", "A 59610-2023")</f>
        <v/>
      </c>
      <c r="Y15">
        <f>HYPERLINK("https://klasma.github.io/Logging_1265/tillsynsmail/A 59610-2023 tillsynsbegäran mail.docx", "A 59610-2023")</f>
        <v/>
      </c>
    </row>
    <row r="16" ht="15" customHeight="1">
      <c r="A16" t="inlineStr">
        <is>
          <t>A 27230-2024</t>
        </is>
      </c>
      <c r="B16" s="1" t="n">
        <v>45471</v>
      </c>
      <c r="C16" s="1" t="n">
        <v>46073</v>
      </c>
      <c r="D16" t="inlineStr">
        <is>
          <t>SKÅNE LÄN</t>
        </is>
      </c>
      <c r="E16" t="inlineStr">
        <is>
          <t>SJÖBO</t>
        </is>
      </c>
      <c r="G16" t="n">
        <v>1.5</v>
      </c>
      <c r="H16" t="n">
        <v>1</v>
      </c>
      <c r="I16" t="n">
        <v>0</v>
      </c>
      <c r="J16" t="n">
        <v>1</v>
      </c>
      <c r="K16" t="n">
        <v>0</v>
      </c>
      <c r="L16" t="n">
        <v>0</v>
      </c>
      <c r="M16" t="n">
        <v>0</v>
      </c>
      <c r="N16" t="n">
        <v>0</v>
      </c>
      <c r="O16" t="n">
        <v>1</v>
      </c>
      <c r="P16" t="n">
        <v>0</v>
      </c>
      <c r="Q16" t="n">
        <v>1</v>
      </c>
      <c r="R16" s="2" t="inlineStr">
        <is>
          <t>Havsörn</t>
        </is>
      </c>
      <c r="S16">
        <f>HYPERLINK("https://klasma.github.io/Logging_1265/artfynd/A 27230-2024 artfynd.xlsx", "A 27230-2024")</f>
        <v/>
      </c>
      <c r="T16">
        <f>HYPERLINK("https://klasma.github.io/Logging_1265/kartor/A 27230-2024 karta.png", "A 27230-2024")</f>
        <v/>
      </c>
      <c r="V16">
        <f>HYPERLINK("https://klasma.github.io/Logging_1265/klagomål/A 27230-2024 FSC-klagomål.docx", "A 27230-2024")</f>
        <v/>
      </c>
      <c r="W16">
        <f>HYPERLINK("https://klasma.github.io/Logging_1265/klagomålsmail/A 27230-2024 FSC-klagomål mail.docx", "A 27230-2024")</f>
        <v/>
      </c>
      <c r="X16">
        <f>HYPERLINK("https://klasma.github.io/Logging_1265/tillsyn/A 27230-2024 tillsynsbegäran.docx", "A 27230-2024")</f>
        <v/>
      </c>
      <c r="Y16">
        <f>HYPERLINK("https://klasma.github.io/Logging_1265/tillsynsmail/A 27230-2024 tillsynsbegäran mail.docx", "A 27230-2024")</f>
        <v/>
      </c>
      <c r="Z16">
        <f>HYPERLINK("https://klasma.github.io/Logging_1265/fåglar/A 27230-2024 prioriterade fågelarter.docx", "A 27230-2024")</f>
        <v/>
      </c>
    </row>
    <row r="17" ht="15" customHeight="1">
      <c r="A17" t="inlineStr">
        <is>
          <t>A 8150-2024</t>
        </is>
      </c>
      <c r="B17" s="1" t="n">
        <v>45351</v>
      </c>
      <c r="C17" s="1" t="n">
        <v>46073</v>
      </c>
      <c r="D17" t="inlineStr">
        <is>
          <t>SKÅNE LÄN</t>
        </is>
      </c>
      <c r="E17" t="inlineStr">
        <is>
          <t>SJÖBO</t>
        </is>
      </c>
      <c r="G17" t="n">
        <v>1.3</v>
      </c>
      <c r="H17" t="n">
        <v>0</v>
      </c>
      <c r="I17" t="n">
        <v>0</v>
      </c>
      <c r="J17" t="n">
        <v>0</v>
      </c>
      <c r="K17" t="n">
        <v>1</v>
      </c>
      <c r="L17" t="n">
        <v>0</v>
      </c>
      <c r="M17" t="n">
        <v>0</v>
      </c>
      <c r="N17" t="n">
        <v>0</v>
      </c>
      <c r="O17" t="n">
        <v>1</v>
      </c>
      <c r="P17" t="n">
        <v>1</v>
      </c>
      <c r="Q17" t="n">
        <v>1</v>
      </c>
      <c r="R17" s="2" t="inlineStr">
        <is>
          <t>Fläcklungört</t>
        </is>
      </c>
      <c r="S17">
        <f>HYPERLINK("https://klasma.github.io/Logging_1265/artfynd/A 8150-2024 artfynd.xlsx", "A 8150-2024")</f>
        <v/>
      </c>
      <c r="T17">
        <f>HYPERLINK("https://klasma.github.io/Logging_1265/kartor/A 8150-2024 karta.png", "A 8150-2024")</f>
        <v/>
      </c>
      <c r="V17">
        <f>HYPERLINK("https://klasma.github.io/Logging_1265/klagomål/A 8150-2024 FSC-klagomål.docx", "A 8150-2024")</f>
        <v/>
      </c>
      <c r="W17">
        <f>HYPERLINK("https://klasma.github.io/Logging_1265/klagomålsmail/A 8150-2024 FSC-klagomål mail.docx", "A 8150-2024")</f>
        <v/>
      </c>
      <c r="X17">
        <f>HYPERLINK("https://klasma.github.io/Logging_1265/tillsyn/A 8150-2024 tillsynsbegäran.docx", "A 8150-2024")</f>
        <v/>
      </c>
      <c r="Y17">
        <f>HYPERLINK("https://klasma.github.io/Logging_1265/tillsynsmail/A 8150-2024 tillsynsbegäran mail.docx", "A 8150-2024")</f>
        <v/>
      </c>
    </row>
    <row r="18" ht="15" customHeight="1">
      <c r="A18" t="inlineStr">
        <is>
          <t>A 43335-2023</t>
        </is>
      </c>
      <c r="B18" s="1" t="n">
        <v>45183</v>
      </c>
      <c r="C18" s="1" t="n">
        <v>46073</v>
      </c>
      <c r="D18" t="inlineStr">
        <is>
          <t>SKÅNE LÄN</t>
        </is>
      </c>
      <c r="E18" t="inlineStr">
        <is>
          <t>SJÖBO</t>
        </is>
      </c>
      <c r="F18" t="inlineStr">
        <is>
          <t>Kommuner</t>
        </is>
      </c>
      <c r="G18" t="n">
        <v>4.9</v>
      </c>
      <c r="H18" t="n">
        <v>0</v>
      </c>
      <c r="I18" t="n">
        <v>0</v>
      </c>
      <c r="J18" t="n">
        <v>1</v>
      </c>
      <c r="K18" t="n">
        <v>0</v>
      </c>
      <c r="L18" t="n">
        <v>0</v>
      </c>
      <c r="M18" t="n">
        <v>0</v>
      </c>
      <c r="N18" t="n">
        <v>0</v>
      </c>
      <c r="O18" t="n">
        <v>1</v>
      </c>
      <c r="P18" t="n">
        <v>0</v>
      </c>
      <c r="Q18" t="n">
        <v>1</v>
      </c>
      <c r="R18" s="2" t="inlineStr">
        <is>
          <t>Igelkott</t>
        </is>
      </c>
      <c r="S18">
        <f>HYPERLINK("https://klasma.github.io/Logging_1265/artfynd/A 43335-2023 artfynd.xlsx", "A 43335-2023")</f>
        <v/>
      </c>
      <c r="T18">
        <f>HYPERLINK("https://klasma.github.io/Logging_1265/kartor/A 43335-2023 karta.png", "A 43335-2023")</f>
        <v/>
      </c>
      <c r="V18">
        <f>HYPERLINK("https://klasma.github.io/Logging_1265/klagomål/A 43335-2023 FSC-klagomål.docx", "A 43335-2023")</f>
        <v/>
      </c>
      <c r="W18">
        <f>HYPERLINK("https://klasma.github.io/Logging_1265/klagomålsmail/A 43335-2023 FSC-klagomål mail.docx", "A 43335-2023")</f>
        <v/>
      </c>
      <c r="X18">
        <f>HYPERLINK("https://klasma.github.io/Logging_1265/tillsyn/A 43335-2023 tillsynsbegäran.docx", "A 43335-2023")</f>
        <v/>
      </c>
      <c r="Y18">
        <f>HYPERLINK("https://klasma.github.io/Logging_1265/tillsynsmail/A 43335-2023 tillsynsbegäran mail.docx", "A 43335-2023")</f>
        <v/>
      </c>
    </row>
    <row r="19" ht="15" customHeight="1">
      <c r="A19" t="inlineStr">
        <is>
          <t>A 17916-2021</t>
        </is>
      </c>
      <c r="B19" s="1" t="n">
        <v>44301</v>
      </c>
      <c r="C19" s="1" t="n">
        <v>46073</v>
      </c>
      <c r="D19" t="inlineStr">
        <is>
          <t>SKÅNE LÄN</t>
        </is>
      </c>
      <c r="E19" t="inlineStr">
        <is>
          <t>SJÖBO</t>
        </is>
      </c>
      <c r="G19" t="n">
        <v>0.9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14709-2022</t>
        </is>
      </c>
      <c r="B20" s="1" t="n">
        <v>44656</v>
      </c>
      <c r="C20" s="1" t="n">
        <v>46073</v>
      </c>
      <c r="D20" t="inlineStr">
        <is>
          <t>SKÅNE LÄN</t>
        </is>
      </c>
      <c r="E20" t="inlineStr">
        <is>
          <t>SJÖBO</t>
        </is>
      </c>
      <c r="F20" t="inlineStr">
        <is>
          <t>Övriga Aktiebolag</t>
        </is>
      </c>
      <c r="G20" t="n">
        <v>5.1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28932-2022</t>
        </is>
      </c>
      <c r="B21" s="1" t="n">
        <v>44749</v>
      </c>
      <c r="C21" s="1" t="n">
        <v>46073</v>
      </c>
      <c r="D21" t="inlineStr">
        <is>
          <t>SKÅNE LÄN</t>
        </is>
      </c>
      <c r="E21" t="inlineStr">
        <is>
          <t>SJÖBO</t>
        </is>
      </c>
      <c r="G21" t="n">
        <v>0.4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45214-2022</t>
        </is>
      </c>
      <c r="B22" s="1" t="n">
        <v>44844.44506944445</v>
      </c>
      <c r="C22" s="1" t="n">
        <v>46073</v>
      </c>
      <c r="D22" t="inlineStr">
        <is>
          <t>SKÅNE LÄN</t>
        </is>
      </c>
      <c r="E22" t="inlineStr">
        <is>
          <t>SJÖBO</t>
        </is>
      </c>
      <c r="G22" t="n">
        <v>0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71056-2021</t>
        </is>
      </c>
      <c r="B23" s="1" t="n">
        <v>44538.74850694444</v>
      </c>
      <c r="C23" s="1" t="n">
        <v>46073</v>
      </c>
      <c r="D23" t="inlineStr">
        <is>
          <t>SKÅNE LÄN</t>
        </is>
      </c>
      <c r="E23" t="inlineStr">
        <is>
          <t>SJÖBO</t>
        </is>
      </c>
      <c r="G23" t="n">
        <v>0.6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48009-2021</t>
        </is>
      </c>
      <c r="B24" s="1" t="n">
        <v>44449</v>
      </c>
      <c r="C24" s="1" t="n">
        <v>46073</v>
      </c>
      <c r="D24" t="inlineStr">
        <is>
          <t>SKÅNE LÄN</t>
        </is>
      </c>
      <c r="E24" t="inlineStr">
        <is>
          <t>SJÖBO</t>
        </is>
      </c>
      <c r="G24" t="n">
        <v>3.9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14095-2021</t>
        </is>
      </c>
      <c r="B25" s="1" t="n">
        <v>44278</v>
      </c>
      <c r="C25" s="1" t="n">
        <v>46073</v>
      </c>
      <c r="D25" t="inlineStr">
        <is>
          <t>SKÅNE LÄN</t>
        </is>
      </c>
      <c r="E25" t="inlineStr">
        <is>
          <t>SJÖBO</t>
        </is>
      </c>
      <c r="F25" t="inlineStr">
        <is>
          <t>Övriga Aktiebolag</t>
        </is>
      </c>
      <c r="G25" t="n">
        <v>6.3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21423-2022</t>
        </is>
      </c>
      <c r="B26" s="1" t="n">
        <v>44706</v>
      </c>
      <c r="C26" s="1" t="n">
        <v>46073</v>
      </c>
      <c r="D26" t="inlineStr">
        <is>
          <t>SKÅNE LÄN</t>
        </is>
      </c>
      <c r="E26" t="inlineStr">
        <is>
          <t>SJÖBO</t>
        </is>
      </c>
      <c r="G26" t="n">
        <v>3.4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26262-2021</t>
        </is>
      </c>
      <c r="B27" s="1" t="n">
        <v>44347</v>
      </c>
      <c r="C27" s="1" t="n">
        <v>46073</v>
      </c>
      <c r="D27" t="inlineStr">
        <is>
          <t>SKÅNE LÄN</t>
        </is>
      </c>
      <c r="E27" t="inlineStr">
        <is>
          <t>SJÖBO</t>
        </is>
      </c>
      <c r="G27" t="n">
        <v>4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31675-2021</t>
        </is>
      </c>
      <c r="B28" s="1" t="n">
        <v>44369</v>
      </c>
      <c r="C28" s="1" t="n">
        <v>46073</v>
      </c>
      <c r="D28" t="inlineStr">
        <is>
          <t>SKÅNE LÄN</t>
        </is>
      </c>
      <c r="E28" t="inlineStr">
        <is>
          <t>SJÖBO</t>
        </is>
      </c>
      <c r="G28" t="n">
        <v>0.4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68007-2021</t>
        </is>
      </c>
      <c r="B29" s="1" t="n">
        <v>44525</v>
      </c>
      <c r="C29" s="1" t="n">
        <v>46073</v>
      </c>
      <c r="D29" t="inlineStr">
        <is>
          <t>SKÅNE LÄN</t>
        </is>
      </c>
      <c r="E29" t="inlineStr">
        <is>
          <t>SJÖBO</t>
        </is>
      </c>
      <c r="G29" t="n">
        <v>0.8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74418-2021</t>
        </is>
      </c>
      <c r="B30" s="1" t="n">
        <v>44560</v>
      </c>
      <c r="C30" s="1" t="n">
        <v>46073</v>
      </c>
      <c r="D30" t="inlineStr">
        <is>
          <t>SKÅNE LÄN</t>
        </is>
      </c>
      <c r="E30" t="inlineStr">
        <is>
          <t>SJÖBO</t>
        </is>
      </c>
      <c r="G30" t="n">
        <v>1.1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60263-2021</t>
        </is>
      </c>
      <c r="B31" s="1" t="n">
        <v>44495</v>
      </c>
      <c r="C31" s="1" t="n">
        <v>46073</v>
      </c>
      <c r="D31" t="inlineStr">
        <is>
          <t>SKÅNE LÄN</t>
        </is>
      </c>
      <c r="E31" t="inlineStr">
        <is>
          <t>SJÖBO</t>
        </is>
      </c>
      <c r="G31" t="n">
        <v>0.9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21424-2022</t>
        </is>
      </c>
      <c r="B32" s="1" t="n">
        <v>44706</v>
      </c>
      <c r="C32" s="1" t="n">
        <v>46073</v>
      </c>
      <c r="D32" t="inlineStr">
        <is>
          <t>SKÅNE LÄN</t>
        </is>
      </c>
      <c r="E32" t="inlineStr">
        <is>
          <t>SJÖBO</t>
        </is>
      </c>
      <c r="G32" t="n">
        <v>1.4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50463-2021</t>
        </is>
      </c>
      <c r="B33" s="1" t="n">
        <v>44455</v>
      </c>
      <c r="C33" s="1" t="n">
        <v>46073</v>
      </c>
      <c r="D33" t="inlineStr">
        <is>
          <t>SKÅNE LÄN</t>
        </is>
      </c>
      <c r="E33" t="inlineStr">
        <is>
          <t>SJÖBO</t>
        </is>
      </c>
      <c r="G33" t="n">
        <v>0.4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42660-2021</t>
        </is>
      </c>
      <c r="B34" s="1" t="n">
        <v>44428</v>
      </c>
      <c r="C34" s="1" t="n">
        <v>46073</v>
      </c>
      <c r="D34" t="inlineStr">
        <is>
          <t>SKÅNE LÄN</t>
        </is>
      </c>
      <c r="E34" t="inlineStr">
        <is>
          <t>SJÖBO</t>
        </is>
      </c>
      <c r="G34" t="n">
        <v>0.9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13055-2022</t>
        </is>
      </c>
      <c r="B35" s="1" t="n">
        <v>44643</v>
      </c>
      <c r="C35" s="1" t="n">
        <v>46073</v>
      </c>
      <c r="D35" t="inlineStr">
        <is>
          <t>SKÅNE LÄN</t>
        </is>
      </c>
      <c r="E35" t="inlineStr">
        <is>
          <t>SJÖBO</t>
        </is>
      </c>
      <c r="G35" t="n">
        <v>0.6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44498-2021</t>
        </is>
      </c>
      <c r="B36" s="1" t="n">
        <v>44435</v>
      </c>
      <c r="C36" s="1" t="n">
        <v>46073</v>
      </c>
      <c r="D36" t="inlineStr">
        <is>
          <t>SKÅNE LÄN</t>
        </is>
      </c>
      <c r="E36" t="inlineStr">
        <is>
          <t>SJÖBO</t>
        </is>
      </c>
      <c r="G36" t="n">
        <v>2.7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32732-2022</t>
        </is>
      </c>
      <c r="B37" s="1" t="n">
        <v>44783</v>
      </c>
      <c r="C37" s="1" t="n">
        <v>46073</v>
      </c>
      <c r="D37" t="inlineStr">
        <is>
          <t>SKÅNE LÄN</t>
        </is>
      </c>
      <c r="E37" t="inlineStr">
        <is>
          <t>SJÖBO</t>
        </is>
      </c>
      <c r="G37" t="n">
        <v>1.5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8858-2025</t>
        </is>
      </c>
      <c r="B38" s="1" t="n">
        <v>45713</v>
      </c>
      <c r="C38" s="1" t="n">
        <v>46073</v>
      </c>
      <c r="D38" t="inlineStr">
        <is>
          <t>SKÅNE LÄN</t>
        </is>
      </c>
      <c r="E38" t="inlineStr">
        <is>
          <t>SJÖBO</t>
        </is>
      </c>
      <c r="G38" t="n">
        <v>0.5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1858-2025</t>
        </is>
      </c>
      <c r="B39" s="1" t="n">
        <v>45671</v>
      </c>
      <c r="C39" s="1" t="n">
        <v>46073</v>
      </c>
      <c r="D39" t="inlineStr">
        <is>
          <t>SKÅNE LÄN</t>
        </is>
      </c>
      <c r="E39" t="inlineStr">
        <is>
          <t>SJÖBO</t>
        </is>
      </c>
      <c r="G39" t="n">
        <v>0.4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1865-2025</t>
        </is>
      </c>
      <c r="B40" s="1" t="n">
        <v>45671</v>
      </c>
      <c r="C40" s="1" t="n">
        <v>46073</v>
      </c>
      <c r="D40" t="inlineStr">
        <is>
          <t>SKÅNE LÄN</t>
        </is>
      </c>
      <c r="E40" t="inlineStr">
        <is>
          <t>SJÖBO</t>
        </is>
      </c>
      <c r="G40" t="n">
        <v>1.5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48026-2021</t>
        </is>
      </c>
      <c r="B41" s="1" t="n">
        <v>44449</v>
      </c>
      <c r="C41" s="1" t="n">
        <v>46073</v>
      </c>
      <c r="D41" t="inlineStr">
        <is>
          <t>SKÅNE LÄN</t>
        </is>
      </c>
      <c r="E41" t="inlineStr">
        <is>
          <t>SJÖBO</t>
        </is>
      </c>
      <c r="G41" t="n">
        <v>1.7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19883-2024</t>
        </is>
      </c>
      <c r="B42" s="1" t="n">
        <v>45433</v>
      </c>
      <c r="C42" s="1" t="n">
        <v>46073</v>
      </c>
      <c r="D42" t="inlineStr">
        <is>
          <t>SKÅNE LÄN</t>
        </is>
      </c>
      <c r="E42" t="inlineStr">
        <is>
          <t>SJÖBO</t>
        </is>
      </c>
      <c r="G42" t="n">
        <v>4.4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19888-2024</t>
        </is>
      </c>
      <c r="B43" s="1" t="n">
        <v>45433</v>
      </c>
      <c r="C43" s="1" t="n">
        <v>46073</v>
      </c>
      <c r="D43" t="inlineStr">
        <is>
          <t>SKÅNE LÄN</t>
        </is>
      </c>
      <c r="E43" t="inlineStr">
        <is>
          <t>SJÖBO</t>
        </is>
      </c>
      <c r="G43" t="n">
        <v>2.5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52959-2024</t>
        </is>
      </c>
      <c r="B44" s="1" t="n">
        <v>45611</v>
      </c>
      <c r="C44" s="1" t="n">
        <v>46073</v>
      </c>
      <c r="D44" t="inlineStr">
        <is>
          <t>SKÅNE LÄN</t>
        </is>
      </c>
      <c r="E44" t="inlineStr">
        <is>
          <t>SJÖBO</t>
        </is>
      </c>
      <c r="G44" t="n">
        <v>2.3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29816-2025</t>
        </is>
      </c>
      <c r="B45" s="1" t="n">
        <v>45825.83328703704</v>
      </c>
      <c r="C45" s="1" t="n">
        <v>46073</v>
      </c>
      <c r="D45" t="inlineStr">
        <is>
          <t>SKÅNE LÄN</t>
        </is>
      </c>
      <c r="E45" t="inlineStr">
        <is>
          <t>SJÖBO</t>
        </is>
      </c>
      <c r="G45" t="n">
        <v>0.9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21973-2025</t>
        </is>
      </c>
      <c r="B46" s="1" t="n">
        <v>45784.6365162037</v>
      </c>
      <c r="C46" s="1" t="n">
        <v>46073</v>
      </c>
      <c r="D46" t="inlineStr">
        <is>
          <t>SKÅNE LÄN</t>
        </is>
      </c>
      <c r="E46" t="inlineStr">
        <is>
          <t>SJÖBO</t>
        </is>
      </c>
      <c r="G46" t="n">
        <v>6.4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21976-2025</t>
        </is>
      </c>
      <c r="B47" s="1" t="n">
        <v>45784.64052083333</v>
      </c>
      <c r="C47" s="1" t="n">
        <v>46073</v>
      </c>
      <c r="D47" t="inlineStr">
        <is>
          <t>SKÅNE LÄN</t>
        </is>
      </c>
      <c r="E47" t="inlineStr">
        <is>
          <t>SJÖBO</t>
        </is>
      </c>
      <c r="G47" t="n">
        <v>2.8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61875-2023</t>
        </is>
      </c>
      <c r="B48" s="1" t="n">
        <v>45265</v>
      </c>
      <c r="C48" s="1" t="n">
        <v>46073</v>
      </c>
      <c r="D48" t="inlineStr">
        <is>
          <t>SKÅNE LÄN</t>
        </is>
      </c>
      <c r="E48" t="inlineStr">
        <is>
          <t>SJÖBO</t>
        </is>
      </c>
      <c r="G48" t="n">
        <v>0.9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60778-2023</t>
        </is>
      </c>
      <c r="B49" s="1" t="n">
        <v>45260</v>
      </c>
      <c r="C49" s="1" t="n">
        <v>46073</v>
      </c>
      <c r="D49" t="inlineStr">
        <is>
          <t>SKÅNE LÄN</t>
        </is>
      </c>
      <c r="E49" t="inlineStr">
        <is>
          <t>SJÖBO</t>
        </is>
      </c>
      <c r="G49" t="n">
        <v>2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8861-2025</t>
        </is>
      </c>
      <c r="B50" s="1" t="n">
        <v>45713</v>
      </c>
      <c r="C50" s="1" t="n">
        <v>46073</v>
      </c>
      <c r="D50" t="inlineStr">
        <is>
          <t>SKÅNE LÄN</t>
        </is>
      </c>
      <c r="E50" t="inlineStr">
        <is>
          <t>SJÖBO</t>
        </is>
      </c>
      <c r="G50" t="n">
        <v>1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1235-2022</t>
        </is>
      </c>
      <c r="B51" s="1" t="n">
        <v>44572.58090277778</v>
      </c>
      <c r="C51" s="1" t="n">
        <v>46073</v>
      </c>
      <c r="D51" t="inlineStr">
        <is>
          <t>SKÅNE LÄN</t>
        </is>
      </c>
      <c r="E51" t="inlineStr">
        <is>
          <t>SJÖBO</t>
        </is>
      </c>
      <c r="G51" t="n">
        <v>0.7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45353-2024</t>
        </is>
      </c>
      <c r="B52" s="1" t="n">
        <v>45576.47909722223</v>
      </c>
      <c r="C52" s="1" t="n">
        <v>46073</v>
      </c>
      <c r="D52" t="inlineStr">
        <is>
          <t>SKÅNE LÄN</t>
        </is>
      </c>
      <c r="E52" t="inlineStr">
        <is>
          <t>SJÖBO</t>
        </is>
      </c>
      <c r="G52" t="n">
        <v>0.7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42323-2025</t>
        </is>
      </c>
      <c r="B53" s="1" t="n">
        <v>45903</v>
      </c>
      <c r="C53" s="1" t="n">
        <v>46073</v>
      </c>
      <c r="D53" t="inlineStr">
        <is>
          <t>SKÅNE LÄN</t>
        </is>
      </c>
      <c r="E53" t="inlineStr">
        <is>
          <t>SJÖBO</t>
        </is>
      </c>
      <c r="G53" t="n">
        <v>3.8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49897-2025</t>
        </is>
      </c>
      <c r="B54" s="1" t="n">
        <v>45940.58430555555</v>
      </c>
      <c r="C54" s="1" t="n">
        <v>46073</v>
      </c>
      <c r="D54" t="inlineStr">
        <is>
          <t>SKÅNE LÄN</t>
        </is>
      </c>
      <c r="E54" t="inlineStr">
        <is>
          <t>SJÖBO</t>
        </is>
      </c>
      <c r="G54" t="n">
        <v>0.6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50816-2025</t>
        </is>
      </c>
      <c r="B55" s="1" t="n">
        <v>45946.53009259259</v>
      </c>
      <c r="C55" s="1" t="n">
        <v>46073</v>
      </c>
      <c r="D55" t="inlineStr">
        <is>
          <t>SKÅNE LÄN</t>
        </is>
      </c>
      <c r="E55" t="inlineStr">
        <is>
          <t>SJÖBO</t>
        </is>
      </c>
      <c r="G55" t="n">
        <v>1.2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50815-2025</t>
        </is>
      </c>
      <c r="B56" s="1" t="n">
        <v>45946.52924768518</v>
      </c>
      <c r="C56" s="1" t="n">
        <v>46073</v>
      </c>
      <c r="D56" t="inlineStr">
        <is>
          <t>SKÅNE LÄN</t>
        </is>
      </c>
      <c r="E56" t="inlineStr">
        <is>
          <t>SJÖBO</t>
        </is>
      </c>
      <c r="G56" t="n">
        <v>1.1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42599-2025</t>
        </is>
      </c>
      <c r="B57" s="1" t="n">
        <v>45905.66563657407</v>
      </c>
      <c r="C57" s="1" t="n">
        <v>46073</v>
      </c>
      <c r="D57" t="inlineStr">
        <is>
          <t>SKÅNE LÄN</t>
        </is>
      </c>
      <c r="E57" t="inlineStr">
        <is>
          <t>SJÖBO</t>
        </is>
      </c>
      <c r="G57" t="n">
        <v>9.800000000000001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54959-2022</t>
        </is>
      </c>
      <c r="B58" s="1" t="n">
        <v>44886</v>
      </c>
      <c r="C58" s="1" t="n">
        <v>46073</v>
      </c>
      <c r="D58" t="inlineStr">
        <is>
          <t>SKÅNE LÄN</t>
        </is>
      </c>
      <c r="E58" t="inlineStr">
        <is>
          <t>SJÖBO</t>
        </is>
      </c>
      <c r="G58" t="n">
        <v>6.4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44893-2024</t>
        </is>
      </c>
      <c r="B59" s="1" t="n">
        <v>45575.36310185185</v>
      </c>
      <c r="C59" s="1" t="n">
        <v>46073</v>
      </c>
      <c r="D59" t="inlineStr">
        <is>
          <t>SKÅNE LÄN</t>
        </is>
      </c>
      <c r="E59" t="inlineStr">
        <is>
          <t>SJÖBO</t>
        </is>
      </c>
      <c r="G59" t="n">
        <v>1.4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40463-2025</t>
        </is>
      </c>
      <c r="B60" s="1" t="n">
        <v>45895</v>
      </c>
      <c r="C60" s="1" t="n">
        <v>46073</v>
      </c>
      <c r="D60" t="inlineStr">
        <is>
          <t>SKÅNE LÄN</t>
        </is>
      </c>
      <c r="E60" t="inlineStr">
        <is>
          <t>SJÖBO</t>
        </is>
      </c>
      <c r="G60" t="n">
        <v>7.2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24914-2025</t>
        </is>
      </c>
      <c r="B61" s="1" t="n">
        <v>45799</v>
      </c>
      <c r="C61" s="1" t="n">
        <v>46073</v>
      </c>
      <c r="D61" t="inlineStr">
        <is>
          <t>SKÅNE LÄN</t>
        </is>
      </c>
      <c r="E61" t="inlineStr">
        <is>
          <t>SJÖBO</t>
        </is>
      </c>
      <c r="G61" t="n">
        <v>3.6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60947-2024</t>
        </is>
      </c>
      <c r="B62" s="1" t="n">
        <v>45645.38118055555</v>
      </c>
      <c r="C62" s="1" t="n">
        <v>46073</v>
      </c>
      <c r="D62" t="inlineStr">
        <is>
          <t>SKÅNE LÄN</t>
        </is>
      </c>
      <c r="E62" t="inlineStr">
        <is>
          <t>SJÖBO</t>
        </is>
      </c>
      <c r="G62" t="n">
        <v>2.6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43000-2025</t>
        </is>
      </c>
      <c r="B63" s="1" t="n">
        <v>45909</v>
      </c>
      <c r="C63" s="1" t="n">
        <v>46073</v>
      </c>
      <c r="D63" t="inlineStr">
        <is>
          <t>SKÅNE LÄN</t>
        </is>
      </c>
      <c r="E63" t="inlineStr">
        <is>
          <t>SJÖBO</t>
        </is>
      </c>
      <c r="G63" t="n">
        <v>1.3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8859-2025</t>
        </is>
      </c>
      <c r="B64" s="1" t="n">
        <v>45713</v>
      </c>
      <c r="C64" s="1" t="n">
        <v>46073</v>
      </c>
      <c r="D64" t="inlineStr">
        <is>
          <t>SKÅNE LÄN</t>
        </is>
      </c>
      <c r="E64" t="inlineStr">
        <is>
          <t>SJÖBO</t>
        </is>
      </c>
      <c r="G64" t="n">
        <v>1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44580-2023</t>
        </is>
      </c>
      <c r="B65" s="1" t="n">
        <v>45189</v>
      </c>
      <c r="C65" s="1" t="n">
        <v>46073</v>
      </c>
      <c r="D65" t="inlineStr">
        <is>
          <t>SKÅNE LÄN</t>
        </is>
      </c>
      <c r="E65" t="inlineStr">
        <is>
          <t>SJÖBO</t>
        </is>
      </c>
      <c r="F65" t="inlineStr">
        <is>
          <t>Kommuner</t>
        </is>
      </c>
      <c r="G65" t="n">
        <v>6.4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24833-2025</t>
        </is>
      </c>
      <c r="B66" s="1" t="n">
        <v>45799.45917824074</v>
      </c>
      <c r="C66" s="1" t="n">
        <v>46073</v>
      </c>
      <c r="D66" t="inlineStr">
        <is>
          <t>SKÅNE LÄN</t>
        </is>
      </c>
      <c r="E66" t="inlineStr">
        <is>
          <t>SJÖBO</t>
        </is>
      </c>
      <c r="G66" t="n">
        <v>2.8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24830-2025</t>
        </is>
      </c>
      <c r="B67" s="1" t="n">
        <v>45799.45798611111</v>
      </c>
      <c r="C67" s="1" t="n">
        <v>46073</v>
      </c>
      <c r="D67" t="inlineStr">
        <is>
          <t>SKÅNE LÄN</t>
        </is>
      </c>
      <c r="E67" t="inlineStr">
        <is>
          <t>SJÖBO</t>
        </is>
      </c>
      <c r="G67" t="n">
        <v>1.3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1846-2025</t>
        </is>
      </c>
      <c r="B68" s="1" t="n">
        <v>45671</v>
      </c>
      <c r="C68" s="1" t="n">
        <v>46073</v>
      </c>
      <c r="D68" t="inlineStr">
        <is>
          <t>SKÅNE LÄN</t>
        </is>
      </c>
      <c r="E68" t="inlineStr">
        <is>
          <t>SJÖBO</t>
        </is>
      </c>
      <c r="G68" t="n">
        <v>5.6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47180-2025</t>
        </is>
      </c>
      <c r="B69" s="1" t="n">
        <v>45930</v>
      </c>
      <c r="C69" s="1" t="n">
        <v>46073</v>
      </c>
      <c r="D69" t="inlineStr">
        <is>
          <t>SKÅNE LÄN</t>
        </is>
      </c>
      <c r="E69" t="inlineStr">
        <is>
          <t>SJÖBO</t>
        </is>
      </c>
      <c r="G69" t="n">
        <v>0.9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29821-2025</t>
        </is>
      </c>
      <c r="B70" s="1" t="n">
        <v>45825.84996527778</v>
      </c>
      <c r="C70" s="1" t="n">
        <v>46073</v>
      </c>
      <c r="D70" t="inlineStr">
        <is>
          <t>SKÅNE LÄN</t>
        </is>
      </c>
      <c r="E70" t="inlineStr">
        <is>
          <t>SJÖBO</t>
        </is>
      </c>
      <c r="G70" t="n">
        <v>4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30451-2025</t>
        </is>
      </c>
      <c r="B71" s="1" t="n">
        <v>45827</v>
      </c>
      <c r="C71" s="1" t="n">
        <v>46073</v>
      </c>
      <c r="D71" t="inlineStr">
        <is>
          <t>SKÅNE LÄN</t>
        </is>
      </c>
      <c r="E71" t="inlineStr">
        <is>
          <t>SJÖBO</t>
        </is>
      </c>
      <c r="G71" t="n">
        <v>2.1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30453-2025</t>
        </is>
      </c>
      <c r="B72" s="1" t="n">
        <v>45827</v>
      </c>
      <c r="C72" s="1" t="n">
        <v>46073</v>
      </c>
      <c r="D72" t="inlineStr">
        <is>
          <t>SKÅNE LÄN</t>
        </is>
      </c>
      <c r="E72" t="inlineStr">
        <is>
          <t>SJÖBO</t>
        </is>
      </c>
      <c r="G72" t="n">
        <v>1.4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11500-2024</t>
        </is>
      </c>
      <c r="B73" s="1" t="n">
        <v>45372</v>
      </c>
      <c r="C73" s="1" t="n">
        <v>46073</v>
      </c>
      <c r="D73" t="inlineStr">
        <is>
          <t>SKÅNE LÄN</t>
        </is>
      </c>
      <c r="E73" t="inlineStr">
        <is>
          <t>SJÖBO</t>
        </is>
      </c>
      <c r="G73" t="n">
        <v>0.9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36414-2023</t>
        </is>
      </c>
      <c r="B74" s="1" t="n">
        <v>45152</v>
      </c>
      <c r="C74" s="1" t="n">
        <v>46073</v>
      </c>
      <c r="D74" t="inlineStr">
        <is>
          <t>SKÅNE LÄN</t>
        </is>
      </c>
      <c r="E74" t="inlineStr">
        <is>
          <t>SJÖBO</t>
        </is>
      </c>
      <c r="G74" t="n">
        <v>1.9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30343-2025</t>
        </is>
      </c>
      <c r="B75" s="1" t="n">
        <v>45827</v>
      </c>
      <c r="C75" s="1" t="n">
        <v>46073</v>
      </c>
      <c r="D75" t="inlineStr">
        <is>
          <t>SKÅNE LÄN</t>
        </is>
      </c>
      <c r="E75" t="inlineStr">
        <is>
          <t>SJÖBO</t>
        </is>
      </c>
      <c r="G75" t="n">
        <v>0.9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16979-2025</t>
        </is>
      </c>
      <c r="B76" s="1" t="n">
        <v>45755</v>
      </c>
      <c r="C76" s="1" t="n">
        <v>46073</v>
      </c>
      <c r="D76" t="inlineStr">
        <is>
          <t>SKÅNE LÄN</t>
        </is>
      </c>
      <c r="E76" t="inlineStr">
        <is>
          <t>SJÖBO</t>
        </is>
      </c>
      <c r="G76" t="n">
        <v>5.3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45348-2024</t>
        </is>
      </c>
      <c r="B77" s="1" t="n">
        <v>45576.47644675926</v>
      </c>
      <c r="C77" s="1" t="n">
        <v>46073</v>
      </c>
      <c r="D77" t="inlineStr">
        <is>
          <t>SKÅNE LÄN</t>
        </is>
      </c>
      <c r="E77" t="inlineStr">
        <is>
          <t>SJÖBO</t>
        </is>
      </c>
      <c r="G77" t="n">
        <v>0.4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34173-2025</t>
        </is>
      </c>
      <c r="B78" s="1" t="n">
        <v>45845.5909837963</v>
      </c>
      <c r="C78" s="1" t="n">
        <v>46073</v>
      </c>
      <c r="D78" t="inlineStr">
        <is>
          <t>SKÅNE LÄN</t>
        </is>
      </c>
      <c r="E78" t="inlineStr">
        <is>
          <t>SJÖBO</t>
        </is>
      </c>
      <c r="G78" t="n">
        <v>5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34115-2025</t>
        </is>
      </c>
      <c r="B79" s="1" t="n">
        <v>45845.50957175926</v>
      </c>
      <c r="C79" s="1" t="n">
        <v>46073</v>
      </c>
      <c r="D79" t="inlineStr">
        <is>
          <t>SKÅNE LÄN</t>
        </is>
      </c>
      <c r="E79" t="inlineStr">
        <is>
          <t>SJÖBO</t>
        </is>
      </c>
      <c r="G79" t="n">
        <v>3.5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34157-2025</t>
        </is>
      </c>
      <c r="B80" s="1" t="n">
        <v>45845.5739699074</v>
      </c>
      <c r="C80" s="1" t="n">
        <v>46073</v>
      </c>
      <c r="D80" t="inlineStr">
        <is>
          <t>SKÅNE LÄN</t>
        </is>
      </c>
      <c r="E80" t="inlineStr">
        <is>
          <t>SJÖBO</t>
        </is>
      </c>
      <c r="G80" t="n">
        <v>0.9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1879-2025</t>
        </is>
      </c>
      <c r="B81" s="1" t="n">
        <v>45671</v>
      </c>
      <c r="C81" s="1" t="n">
        <v>46073</v>
      </c>
      <c r="D81" t="inlineStr">
        <is>
          <t>SKÅNE LÄN</t>
        </is>
      </c>
      <c r="E81" t="inlineStr">
        <is>
          <t>SJÖBO</t>
        </is>
      </c>
      <c r="G81" t="n">
        <v>0.5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34780-2025</t>
        </is>
      </c>
      <c r="B82" s="1" t="n">
        <v>45848</v>
      </c>
      <c r="C82" s="1" t="n">
        <v>46073</v>
      </c>
      <c r="D82" t="inlineStr">
        <is>
          <t>SKÅNE LÄN</t>
        </is>
      </c>
      <c r="E82" t="inlineStr">
        <is>
          <t>SJÖBO</t>
        </is>
      </c>
      <c r="G82" t="n">
        <v>6.1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35454-2025</t>
        </is>
      </c>
      <c r="B83" s="1" t="n">
        <v>45855</v>
      </c>
      <c r="C83" s="1" t="n">
        <v>46073</v>
      </c>
      <c r="D83" t="inlineStr">
        <is>
          <t>SKÅNE LÄN</t>
        </is>
      </c>
      <c r="E83" t="inlineStr">
        <is>
          <t>SJÖBO</t>
        </is>
      </c>
      <c r="G83" t="n">
        <v>2.3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19880-2024</t>
        </is>
      </c>
      <c r="B84" s="1" t="n">
        <v>45433</v>
      </c>
      <c r="C84" s="1" t="n">
        <v>46073</v>
      </c>
      <c r="D84" t="inlineStr">
        <is>
          <t>SKÅNE LÄN</t>
        </is>
      </c>
      <c r="E84" t="inlineStr">
        <is>
          <t>SJÖBO</t>
        </is>
      </c>
      <c r="G84" t="n">
        <v>6.5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36347-2025</t>
        </is>
      </c>
      <c r="B85" s="1" t="n">
        <v>45868.47796296296</v>
      </c>
      <c r="C85" s="1" t="n">
        <v>46073</v>
      </c>
      <c r="D85" t="inlineStr">
        <is>
          <t>SKÅNE LÄN</t>
        </is>
      </c>
      <c r="E85" t="inlineStr">
        <is>
          <t>SJÖBO</t>
        </is>
      </c>
      <c r="G85" t="n">
        <v>0.9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52958-2024</t>
        </is>
      </c>
      <c r="B86" s="1" t="n">
        <v>45611.26017361111</v>
      </c>
      <c r="C86" s="1" t="n">
        <v>46073</v>
      </c>
      <c r="D86" t="inlineStr">
        <is>
          <t>SKÅNE LÄN</t>
        </is>
      </c>
      <c r="E86" t="inlineStr">
        <is>
          <t>SJÖBO</t>
        </is>
      </c>
      <c r="G86" t="n">
        <v>3.6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14747-2023</t>
        </is>
      </c>
      <c r="B87" s="1" t="n">
        <v>45014</v>
      </c>
      <c r="C87" s="1" t="n">
        <v>46073</v>
      </c>
      <c r="D87" t="inlineStr">
        <is>
          <t>SKÅNE LÄN</t>
        </is>
      </c>
      <c r="E87" t="inlineStr">
        <is>
          <t>SJÖBO</t>
        </is>
      </c>
      <c r="G87" t="n">
        <v>1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8862-2025</t>
        </is>
      </c>
      <c r="B88" s="1" t="n">
        <v>45713</v>
      </c>
      <c r="C88" s="1" t="n">
        <v>46073</v>
      </c>
      <c r="D88" t="inlineStr">
        <is>
          <t>SKÅNE LÄN</t>
        </is>
      </c>
      <c r="E88" t="inlineStr">
        <is>
          <t>SJÖBO</t>
        </is>
      </c>
      <c r="G88" t="n">
        <v>0.6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47943-2023</t>
        </is>
      </c>
      <c r="B89" s="1" t="n">
        <v>45204</v>
      </c>
      <c r="C89" s="1" t="n">
        <v>46073</v>
      </c>
      <c r="D89" t="inlineStr">
        <is>
          <t>SKÅNE LÄN</t>
        </is>
      </c>
      <c r="E89" t="inlineStr">
        <is>
          <t>SJÖBO</t>
        </is>
      </c>
      <c r="G89" t="n">
        <v>6.1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60900-2025</t>
        </is>
      </c>
      <c r="B90" s="1" t="n">
        <v>45999</v>
      </c>
      <c r="C90" s="1" t="n">
        <v>46073</v>
      </c>
      <c r="D90" t="inlineStr">
        <is>
          <t>SKÅNE LÄN</t>
        </is>
      </c>
      <c r="E90" t="inlineStr">
        <is>
          <t>SJÖBO</t>
        </is>
      </c>
      <c r="G90" t="n">
        <v>6.6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61431-2025</t>
        </is>
      </c>
      <c r="B91" s="1" t="n">
        <v>46001.55604166666</v>
      </c>
      <c r="C91" s="1" t="n">
        <v>46073</v>
      </c>
      <c r="D91" t="inlineStr">
        <is>
          <t>SKÅNE LÄN</t>
        </is>
      </c>
      <c r="E91" t="inlineStr">
        <is>
          <t>SJÖBO</t>
        </is>
      </c>
      <c r="G91" t="n">
        <v>0.8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3643-2026</t>
        </is>
      </c>
      <c r="B92" s="1" t="n">
        <v>46043.35827546296</v>
      </c>
      <c r="C92" s="1" t="n">
        <v>46073</v>
      </c>
      <c r="D92" t="inlineStr">
        <is>
          <t>SKÅNE LÄN</t>
        </is>
      </c>
      <c r="E92" t="inlineStr">
        <is>
          <t>SJÖBO</t>
        </is>
      </c>
      <c r="G92" t="n">
        <v>3.2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4663-2026</t>
        </is>
      </c>
      <c r="B93" s="1" t="n">
        <v>46048.4096875</v>
      </c>
      <c r="C93" s="1" t="n">
        <v>46073</v>
      </c>
      <c r="D93" t="inlineStr">
        <is>
          <t>SKÅNE LÄN</t>
        </is>
      </c>
      <c r="E93" t="inlineStr">
        <is>
          <t>SJÖBO</t>
        </is>
      </c>
      <c r="G93" t="n">
        <v>0.9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5444-2025</t>
        </is>
      </c>
      <c r="B94" s="1" t="n">
        <v>45692</v>
      </c>
      <c r="C94" s="1" t="n">
        <v>46073</v>
      </c>
      <c r="D94" t="inlineStr">
        <is>
          <t>SKÅNE LÄN</t>
        </is>
      </c>
      <c r="E94" t="inlineStr">
        <is>
          <t>SJÖBO</t>
        </is>
      </c>
      <c r="F94" t="inlineStr">
        <is>
          <t>Övriga Aktiebolag</t>
        </is>
      </c>
      <c r="G94" t="n">
        <v>2.9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56137-2021</t>
        </is>
      </c>
      <c r="B95" s="1" t="n">
        <v>44477</v>
      </c>
      <c r="C95" s="1" t="n">
        <v>46073</v>
      </c>
      <c r="D95" t="inlineStr">
        <is>
          <t>SKÅNE LÄN</t>
        </is>
      </c>
      <c r="E95" t="inlineStr">
        <is>
          <t>SJÖBO</t>
        </is>
      </c>
      <c r="G95" t="n">
        <v>5.1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5404-2026</t>
        </is>
      </c>
      <c r="B96" s="1" t="n">
        <v>46049</v>
      </c>
      <c r="C96" s="1" t="n">
        <v>46073</v>
      </c>
      <c r="D96" t="inlineStr">
        <is>
          <t>SKÅNE LÄN</t>
        </is>
      </c>
      <c r="E96" t="inlineStr">
        <is>
          <t>SJÖBO</t>
        </is>
      </c>
      <c r="G96" t="n">
        <v>5.9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5197-2026</t>
        </is>
      </c>
      <c r="B97" s="1" t="n">
        <v>46049.66547453704</v>
      </c>
      <c r="C97" s="1" t="n">
        <v>46073</v>
      </c>
      <c r="D97" t="inlineStr">
        <is>
          <t>SKÅNE LÄN</t>
        </is>
      </c>
      <c r="E97" t="inlineStr">
        <is>
          <t>SJÖBO</t>
        </is>
      </c>
      <c r="F97" t="inlineStr">
        <is>
          <t>Övriga Aktiebolag</t>
        </is>
      </c>
      <c r="G97" t="n">
        <v>3.4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36363-2021</t>
        </is>
      </c>
      <c r="B98" s="1" t="n">
        <v>44390</v>
      </c>
      <c r="C98" s="1" t="n">
        <v>46073</v>
      </c>
      <c r="D98" t="inlineStr">
        <is>
          <t>SKÅNE LÄN</t>
        </is>
      </c>
      <c r="E98" t="inlineStr">
        <is>
          <t>SJÖBO</t>
        </is>
      </c>
      <c r="G98" t="n">
        <v>1.5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70933-2021</t>
        </is>
      </c>
      <c r="B99" s="1" t="n">
        <v>44538</v>
      </c>
      <c r="C99" s="1" t="n">
        <v>46073</v>
      </c>
      <c r="D99" t="inlineStr">
        <is>
          <t>SKÅNE LÄN</t>
        </is>
      </c>
      <c r="E99" t="inlineStr">
        <is>
          <t>SJÖBO</t>
        </is>
      </c>
      <c r="G99" t="n">
        <v>1.3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7059-2025</t>
        </is>
      </c>
      <c r="B100" s="1" t="n">
        <v>45701.65484953704</v>
      </c>
      <c r="C100" s="1" t="n">
        <v>46073</v>
      </c>
      <c r="D100" t="inlineStr">
        <is>
          <t>SKÅNE LÄN</t>
        </is>
      </c>
      <c r="E100" t="inlineStr">
        <is>
          <t>SJÖBO</t>
        </is>
      </c>
      <c r="G100" t="n">
        <v>1.3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7474-2026</t>
        </is>
      </c>
      <c r="B101" s="1" t="n">
        <v>46059.49254629629</v>
      </c>
      <c r="C101" s="1" t="n">
        <v>46073</v>
      </c>
      <c r="D101" t="inlineStr">
        <is>
          <t>SKÅNE LÄN</t>
        </is>
      </c>
      <c r="E101" t="inlineStr">
        <is>
          <t>SJÖBO</t>
        </is>
      </c>
      <c r="F101" t="inlineStr">
        <is>
          <t>Sveaskog</t>
        </is>
      </c>
      <c r="G101" t="n">
        <v>0.9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28923-2023</t>
        </is>
      </c>
      <c r="B102" s="1" t="n">
        <v>45104</v>
      </c>
      <c r="C102" s="1" t="n">
        <v>46073</v>
      </c>
      <c r="D102" t="inlineStr">
        <is>
          <t>SKÅNE LÄN</t>
        </is>
      </c>
      <c r="E102" t="inlineStr">
        <is>
          <t>SJÖBO</t>
        </is>
      </c>
      <c r="G102" t="n">
        <v>1.7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62807-2025</t>
        </is>
      </c>
      <c r="B103" s="1" t="n">
        <v>46008</v>
      </c>
      <c r="C103" s="1" t="n">
        <v>46073</v>
      </c>
      <c r="D103" t="inlineStr">
        <is>
          <t>SKÅNE LÄN</t>
        </is>
      </c>
      <c r="E103" t="inlineStr">
        <is>
          <t>SJÖBO</t>
        </is>
      </c>
      <c r="F103" t="inlineStr">
        <is>
          <t>Sveaskog</t>
        </is>
      </c>
      <c r="G103" t="n">
        <v>1.1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746-2026</t>
        </is>
      </c>
      <c r="B104" s="1" t="n">
        <v>46029.67237268519</v>
      </c>
      <c r="C104" s="1" t="n">
        <v>46073</v>
      </c>
      <c r="D104" t="inlineStr">
        <is>
          <t>SKÅNE LÄN</t>
        </is>
      </c>
      <c r="E104" t="inlineStr">
        <is>
          <t>SJÖBO</t>
        </is>
      </c>
      <c r="F104" t="inlineStr">
        <is>
          <t>Sveaskog</t>
        </is>
      </c>
      <c r="G104" t="n">
        <v>6.6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749-2026</t>
        </is>
      </c>
      <c r="B105" s="1" t="n">
        <v>46029.6750925926</v>
      </c>
      <c r="C105" s="1" t="n">
        <v>46073</v>
      </c>
      <c r="D105" t="inlineStr">
        <is>
          <t>SKÅNE LÄN</t>
        </is>
      </c>
      <c r="E105" t="inlineStr">
        <is>
          <t>SJÖBO</t>
        </is>
      </c>
      <c r="F105" t="inlineStr">
        <is>
          <t>Sveaskog</t>
        </is>
      </c>
      <c r="G105" t="n">
        <v>0.5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62798-2025</t>
        </is>
      </c>
      <c r="B106" s="1" t="n">
        <v>46008</v>
      </c>
      <c r="C106" s="1" t="n">
        <v>46073</v>
      </c>
      <c r="D106" t="inlineStr">
        <is>
          <t>SKÅNE LÄN</t>
        </is>
      </c>
      <c r="E106" t="inlineStr">
        <is>
          <t>SJÖBO</t>
        </is>
      </c>
      <c r="F106" t="inlineStr">
        <is>
          <t>Sveaskog</t>
        </is>
      </c>
      <c r="G106" t="n">
        <v>1.8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51153-2024</t>
        </is>
      </c>
      <c r="B107" s="1" t="n">
        <v>45603.57090277778</v>
      </c>
      <c r="C107" s="1" t="n">
        <v>46073</v>
      </c>
      <c r="D107" t="inlineStr">
        <is>
          <t>SKÅNE LÄN</t>
        </is>
      </c>
      <c r="E107" t="inlineStr">
        <is>
          <t>SJÖBO</t>
        </is>
      </c>
      <c r="G107" t="n">
        <v>3.9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31403-2023</t>
        </is>
      </c>
      <c r="B108" s="1" t="n">
        <v>45114</v>
      </c>
      <c r="C108" s="1" t="n">
        <v>46073</v>
      </c>
      <c r="D108" t="inlineStr">
        <is>
          <t>SKÅNE LÄN</t>
        </is>
      </c>
      <c r="E108" t="inlineStr">
        <is>
          <t>SJÖBO</t>
        </is>
      </c>
      <c r="G108" t="n">
        <v>1.1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15856-2022</t>
        </is>
      </c>
      <c r="B109" s="1" t="n">
        <v>44664</v>
      </c>
      <c r="C109" s="1" t="n">
        <v>46073</v>
      </c>
      <c r="D109" t="inlineStr">
        <is>
          <t>SKÅNE LÄN</t>
        </is>
      </c>
      <c r="E109" t="inlineStr">
        <is>
          <t>SJÖBO</t>
        </is>
      </c>
      <c r="G109" t="n">
        <v>0.9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16346-2024</t>
        </is>
      </c>
      <c r="B110" s="1" t="n">
        <v>45407.56798611111</v>
      </c>
      <c r="C110" s="1" t="n">
        <v>46073</v>
      </c>
      <c r="D110" t="inlineStr">
        <is>
          <t>SKÅNE LÄN</t>
        </is>
      </c>
      <c r="E110" t="inlineStr">
        <is>
          <t>SJÖBO</t>
        </is>
      </c>
      <c r="G110" t="n">
        <v>0.6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34776-2023</t>
        </is>
      </c>
      <c r="B111" s="1" t="n">
        <v>45140</v>
      </c>
      <c r="C111" s="1" t="n">
        <v>46073</v>
      </c>
      <c r="D111" t="inlineStr">
        <is>
          <t>SKÅNE LÄN</t>
        </is>
      </c>
      <c r="E111" t="inlineStr">
        <is>
          <t>SJÖBO</t>
        </is>
      </c>
      <c r="G111" t="n">
        <v>1.3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45925-2023</t>
        </is>
      </c>
      <c r="B112" s="1" t="n">
        <v>45189</v>
      </c>
      <c r="C112" s="1" t="n">
        <v>46073</v>
      </c>
      <c r="D112" t="inlineStr">
        <is>
          <t>SKÅNE LÄN</t>
        </is>
      </c>
      <c r="E112" t="inlineStr">
        <is>
          <t>SJÖBO</t>
        </is>
      </c>
      <c r="F112" t="inlineStr">
        <is>
          <t>Sveaskog</t>
        </is>
      </c>
      <c r="G112" t="n">
        <v>4.7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10454-2022</t>
        </is>
      </c>
      <c r="B113" s="1" t="n">
        <v>44623</v>
      </c>
      <c r="C113" s="1" t="n">
        <v>46073</v>
      </c>
      <c r="D113" t="inlineStr">
        <is>
          <t>SKÅNE LÄN</t>
        </is>
      </c>
      <c r="E113" t="inlineStr">
        <is>
          <t>SJÖBO</t>
        </is>
      </c>
      <c r="G113" t="n">
        <v>2.6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19884-2024</t>
        </is>
      </c>
      <c r="B114" s="1" t="n">
        <v>45433</v>
      </c>
      <c r="C114" s="1" t="n">
        <v>46073</v>
      </c>
      <c r="D114" t="inlineStr">
        <is>
          <t>SKÅNE LÄN</t>
        </is>
      </c>
      <c r="E114" t="inlineStr">
        <is>
          <t>SJÖBO</t>
        </is>
      </c>
      <c r="G114" t="n">
        <v>0.6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22425-2024</t>
        </is>
      </c>
      <c r="B115" s="1" t="n">
        <v>45446</v>
      </c>
      <c r="C115" s="1" t="n">
        <v>46073</v>
      </c>
      <c r="D115" t="inlineStr">
        <is>
          <t>SKÅNE LÄN</t>
        </is>
      </c>
      <c r="E115" t="inlineStr">
        <is>
          <t>SJÖBO</t>
        </is>
      </c>
      <c r="G115" t="n">
        <v>3.2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43745-2023</t>
        </is>
      </c>
      <c r="B116" s="1" t="n">
        <v>45187.47180555556</v>
      </c>
      <c r="C116" s="1" t="n">
        <v>46073</v>
      </c>
      <c r="D116" t="inlineStr">
        <is>
          <t>SKÅNE LÄN</t>
        </is>
      </c>
      <c r="E116" t="inlineStr">
        <is>
          <t>SJÖBO</t>
        </is>
      </c>
      <c r="F116" t="inlineStr">
        <is>
          <t>Sveaskog</t>
        </is>
      </c>
      <c r="G116" t="n">
        <v>2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60371-2023</t>
        </is>
      </c>
      <c r="B117" s="1" t="n">
        <v>45259</v>
      </c>
      <c r="C117" s="1" t="n">
        <v>46073</v>
      </c>
      <c r="D117" t="inlineStr">
        <is>
          <t>SKÅNE LÄN</t>
        </is>
      </c>
      <c r="E117" t="inlineStr">
        <is>
          <t>SJÖBO</t>
        </is>
      </c>
      <c r="G117" t="n">
        <v>1.3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20572-2021</t>
        </is>
      </c>
      <c r="B118" s="1" t="n">
        <v>44316.32141203704</v>
      </c>
      <c r="C118" s="1" t="n">
        <v>46073</v>
      </c>
      <c r="D118" t="inlineStr">
        <is>
          <t>SKÅNE LÄN</t>
        </is>
      </c>
      <c r="E118" t="inlineStr">
        <is>
          <t>SJÖBO</t>
        </is>
      </c>
      <c r="F118" t="inlineStr">
        <is>
          <t>Övriga Aktiebolag</t>
        </is>
      </c>
      <c r="G118" t="n">
        <v>1.9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46397-2023</t>
        </is>
      </c>
      <c r="B119" s="1" t="n">
        <v>45191</v>
      </c>
      <c r="C119" s="1" t="n">
        <v>46073</v>
      </c>
      <c r="D119" t="inlineStr">
        <is>
          <t>SKÅNE LÄN</t>
        </is>
      </c>
      <c r="E119" t="inlineStr">
        <is>
          <t>SJÖBO</t>
        </is>
      </c>
      <c r="G119" t="n">
        <v>9.300000000000001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50798-2023</t>
        </is>
      </c>
      <c r="B120" s="1" t="n">
        <v>45217</v>
      </c>
      <c r="C120" s="1" t="n">
        <v>46073</v>
      </c>
      <c r="D120" t="inlineStr">
        <is>
          <t>SKÅNE LÄN</t>
        </is>
      </c>
      <c r="E120" t="inlineStr">
        <is>
          <t>SJÖBO</t>
        </is>
      </c>
      <c r="G120" t="n">
        <v>1.5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54711-2023</t>
        </is>
      </c>
      <c r="B121" s="1" t="n">
        <v>45236</v>
      </c>
      <c r="C121" s="1" t="n">
        <v>46073</v>
      </c>
      <c r="D121" t="inlineStr">
        <is>
          <t>SKÅNE LÄN</t>
        </is>
      </c>
      <c r="E121" t="inlineStr">
        <is>
          <t>SJÖBO</t>
        </is>
      </c>
      <c r="F121" t="inlineStr">
        <is>
          <t>Kommuner</t>
        </is>
      </c>
      <c r="G121" t="n">
        <v>5.8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27237-2024</t>
        </is>
      </c>
      <c r="B122" s="1" t="n">
        <v>45471</v>
      </c>
      <c r="C122" s="1" t="n">
        <v>46073</v>
      </c>
      <c r="D122" t="inlineStr">
        <is>
          <t>SKÅNE LÄN</t>
        </is>
      </c>
      <c r="E122" t="inlineStr">
        <is>
          <t>SJÖBO</t>
        </is>
      </c>
      <c r="G122" t="n">
        <v>0.6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39414-2023</t>
        </is>
      </c>
      <c r="B123" s="1" t="n">
        <v>45163</v>
      </c>
      <c r="C123" s="1" t="n">
        <v>46073</v>
      </c>
      <c r="D123" t="inlineStr">
        <is>
          <t>SKÅNE LÄN</t>
        </is>
      </c>
      <c r="E123" t="inlineStr">
        <is>
          <t>SJÖBO</t>
        </is>
      </c>
      <c r="G123" t="n">
        <v>3.7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12965-2024</t>
        </is>
      </c>
      <c r="B124" s="1" t="n">
        <v>45385</v>
      </c>
      <c r="C124" s="1" t="n">
        <v>46073</v>
      </c>
      <c r="D124" t="inlineStr">
        <is>
          <t>SKÅNE LÄN</t>
        </is>
      </c>
      <c r="E124" t="inlineStr">
        <is>
          <t>SJÖBO</t>
        </is>
      </c>
      <c r="F124" t="inlineStr">
        <is>
          <t>Övriga Aktiebolag</t>
        </is>
      </c>
      <c r="G124" t="n">
        <v>3.8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61031-2022</t>
        </is>
      </c>
      <c r="B125" s="1" t="n">
        <v>44914</v>
      </c>
      <c r="C125" s="1" t="n">
        <v>46073</v>
      </c>
      <c r="D125" t="inlineStr">
        <is>
          <t>SKÅNE LÄN</t>
        </is>
      </c>
      <c r="E125" t="inlineStr">
        <is>
          <t>SJÖBO</t>
        </is>
      </c>
      <c r="F125" t="inlineStr">
        <is>
          <t>Övriga Aktiebolag</t>
        </is>
      </c>
      <c r="G125" t="n">
        <v>3.3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47656-2023</t>
        </is>
      </c>
      <c r="B126" s="1" t="n">
        <v>45203</v>
      </c>
      <c r="C126" s="1" t="n">
        <v>46073</v>
      </c>
      <c r="D126" t="inlineStr">
        <is>
          <t>SKÅNE LÄN</t>
        </is>
      </c>
      <c r="E126" t="inlineStr">
        <is>
          <t>SJÖBO</t>
        </is>
      </c>
      <c r="G126" t="n">
        <v>0.8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13754-2023</t>
        </is>
      </c>
      <c r="B127" s="1" t="n">
        <v>45007.40105324074</v>
      </c>
      <c r="C127" s="1" t="n">
        <v>46073</v>
      </c>
      <c r="D127" t="inlineStr">
        <is>
          <t>SKÅNE LÄN</t>
        </is>
      </c>
      <c r="E127" t="inlineStr">
        <is>
          <t>SJÖBO</t>
        </is>
      </c>
      <c r="G127" t="n">
        <v>1.2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2026-2022</t>
        </is>
      </c>
      <c r="B128" s="1" t="n">
        <v>44575</v>
      </c>
      <c r="C128" s="1" t="n">
        <v>46073</v>
      </c>
      <c r="D128" t="inlineStr">
        <is>
          <t>SKÅNE LÄN</t>
        </is>
      </c>
      <c r="E128" t="inlineStr">
        <is>
          <t>SJÖBO</t>
        </is>
      </c>
      <c r="G128" t="n">
        <v>1.7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64905-2023</t>
        </is>
      </c>
      <c r="B129" s="1" t="n">
        <v>45282</v>
      </c>
      <c r="C129" s="1" t="n">
        <v>46073</v>
      </c>
      <c r="D129" t="inlineStr">
        <is>
          <t>SKÅNE LÄN</t>
        </is>
      </c>
      <c r="E129" t="inlineStr">
        <is>
          <t>SJÖBO</t>
        </is>
      </c>
      <c r="G129" t="n">
        <v>1.3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21425-2022</t>
        </is>
      </c>
      <c r="B130" s="1" t="n">
        <v>44706</v>
      </c>
      <c r="C130" s="1" t="n">
        <v>46073</v>
      </c>
      <c r="D130" t="inlineStr">
        <is>
          <t>SKÅNE LÄN</t>
        </is>
      </c>
      <c r="E130" t="inlineStr">
        <is>
          <t>SJÖBO</t>
        </is>
      </c>
      <c r="G130" t="n">
        <v>0.7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16429-2023</t>
        </is>
      </c>
      <c r="B131" s="1" t="n">
        <v>45029</v>
      </c>
      <c r="C131" s="1" t="n">
        <v>46073</v>
      </c>
      <c r="D131" t="inlineStr">
        <is>
          <t>SKÅNE LÄN</t>
        </is>
      </c>
      <c r="E131" t="inlineStr">
        <is>
          <t>SJÖBO</t>
        </is>
      </c>
      <c r="G131" t="n">
        <v>2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28919-2023</t>
        </is>
      </c>
      <c r="B132" s="1" t="n">
        <v>45104</v>
      </c>
      <c r="C132" s="1" t="n">
        <v>46073</v>
      </c>
      <c r="D132" t="inlineStr">
        <is>
          <t>SKÅNE LÄN</t>
        </is>
      </c>
      <c r="E132" t="inlineStr">
        <is>
          <t>SJÖBO</t>
        </is>
      </c>
      <c r="G132" t="n">
        <v>0.8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6229-2022</t>
        </is>
      </c>
      <c r="B133" s="1" t="n">
        <v>44600</v>
      </c>
      <c r="C133" s="1" t="n">
        <v>46073</v>
      </c>
      <c r="D133" t="inlineStr">
        <is>
          <t>SKÅNE LÄN</t>
        </is>
      </c>
      <c r="E133" t="inlineStr">
        <is>
          <t>SJÖBO</t>
        </is>
      </c>
      <c r="G133" t="n">
        <v>3.2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49298-2023</t>
        </is>
      </c>
      <c r="B134" s="1" t="n">
        <v>45210.86210648148</v>
      </c>
      <c r="C134" s="1" t="n">
        <v>46073</v>
      </c>
      <c r="D134" t="inlineStr">
        <is>
          <t>SKÅNE LÄN</t>
        </is>
      </c>
      <c r="E134" t="inlineStr">
        <is>
          <t>SJÖBO</t>
        </is>
      </c>
      <c r="G134" t="n">
        <v>0.1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1098-2025</t>
        </is>
      </c>
      <c r="B135" s="1" t="n">
        <v>45666.64070601852</v>
      </c>
      <c r="C135" s="1" t="n">
        <v>46073</v>
      </c>
      <c r="D135" t="inlineStr">
        <is>
          <t>SKÅNE LÄN</t>
        </is>
      </c>
      <c r="E135" t="inlineStr">
        <is>
          <t>SJÖBO</t>
        </is>
      </c>
      <c r="G135" t="n">
        <v>2.2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18973-2023</t>
        </is>
      </c>
      <c r="B136" s="1" t="n">
        <v>45044</v>
      </c>
      <c r="C136" s="1" t="n">
        <v>46073</v>
      </c>
      <c r="D136" t="inlineStr">
        <is>
          <t>SKÅNE LÄN</t>
        </is>
      </c>
      <c r="E136" t="inlineStr">
        <is>
          <t>SJÖBO</t>
        </is>
      </c>
      <c r="G136" t="n">
        <v>9.4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39407-2023</t>
        </is>
      </c>
      <c r="B137" s="1" t="n">
        <v>45163</v>
      </c>
      <c r="C137" s="1" t="n">
        <v>46073</v>
      </c>
      <c r="D137" t="inlineStr">
        <is>
          <t>SKÅNE LÄN</t>
        </is>
      </c>
      <c r="E137" t="inlineStr">
        <is>
          <t>SJÖBO</t>
        </is>
      </c>
      <c r="G137" t="n">
        <v>9.300000000000001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26459-2021</t>
        </is>
      </c>
      <c r="B138" s="1" t="n">
        <v>44348</v>
      </c>
      <c r="C138" s="1" t="n">
        <v>46073</v>
      </c>
      <c r="D138" t="inlineStr">
        <is>
          <t>SKÅNE LÄN</t>
        </is>
      </c>
      <c r="E138" t="inlineStr">
        <is>
          <t>SJÖBO</t>
        </is>
      </c>
      <c r="G138" t="n">
        <v>4.5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22406-2022</t>
        </is>
      </c>
      <c r="B139" s="1" t="n">
        <v>44713</v>
      </c>
      <c r="C139" s="1" t="n">
        <v>46073</v>
      </c>
      <c r="D139" t="inlineStr">
        <is>
          <t>SKÅNE LÄN</t>
        </is>
      </c>
      <c r="E139" t="inlineStr">
        <is>
          <t>SJÖBO</t>
        </is>
      </c>
      <c r="G139" t="n">
        <v>2.8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45981-2023</t>
        </is>
      </c>
      <c r="B140" s="1" t="n">
        <v>45189</v>
      </c>
      <c r="C140" s="1" t="n">
        <v>46073</v>
      </c>
      <c r="D140" t="inlineStr">
        <is>
          <t>SKÅNE LÄN</t>
        </is>
      </c>
      <c r="E140" t="inlineStr">
        <is>
          <t>SJÖBO</t>
        </is>
      </c>
      <c r="F140" t="inlineStr">
        <is>
          <t>Sveaskog</t>
        </is>
      </c>
      <c r="G140" t="n">
        <v>1.4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19877-2024</t>
        </is>
      </c>
      <c r="B141" s="1" t="n">
        <v>45433</v>
      </c>
      <c r="C141" s="1" t="n">
        <v>46073</v>
      </c>
      <c r="D141" t="inlineStr">
        <is>
          <t>SKÅNE LÄN</t>
        </is>
      </c>
      <c r="E141" t="inlineStr">
        <is>
          <t>SJÖBO</t>
        </is>
      </c>
      <c r="G141" t="n">
        <v>2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8568-2023</t>
        </is>
      </c>
      <c r="B142" s="1" t="n">
        <v>44977</v>
      </c>
      <c r="C142" s="1" t="n">
        <v>46073</v>
      </c>
      <c r="D142" t="inlineStr">
        <is>
          <t>SKÅNE LÄN</t>
        </is>
      </c>
      <c r="E142" t="inlineStr">
        <is>
          <t>SJÖBO</t>
        </is>
      </c>
      <c r="G142" t="n">
        <v>1.6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1031-2025</t>
        </is>
      </c>
      <c r="B143" s="1" t="n">
        <v>45666.5195949074</v>
      </c>
      <c r="C143" s="1" t="n">
        <v>46073</v>
      </c>
      <c r="D143" t="inlineStr">
        <is>
          <t>SKÅNE LÄN</t>
        </is>
      </c>
      <c r="E143" t="inlineStr">
        <is>
          <t>SJÖBO</t>
        </is>
      </c>
      <c r="G143" t="n">
        <v>1.7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16340-2024</t>
        </is>
      </c>
      <c r="B144" s="1" t="n">
        <v>45407.56114583334</v>
      </c>
      <c r="C144" s="1" t="n">
        <v>46073</v>
      </c>
      <c r="D144" t="inlineStr">
        <is>
          <t>SKÅNE LÄN</t>
        </is>
      </c>
      <c r="E144" t="inlineStr">
        <is>
          <t>SJÖBO</t>
        </is>
      </c>
      <c r="G144" t="n">
        <v>1.9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16373-2024</t>
        </is>
      </c>
      <c r="B145" s="1" t="n">
        <v>45407.60150462963</v>
      </c>
      <c r="C145" s="1" t="n">
        <v>46073</v>
      </c>
      <c r="D145" t="inlineStr">
        <is>
          <t>SKÅNE LÄN</t>
        </is>
      </c>
      <c r="E145" t="inlineStr">
        <is>
          <t>SJÖBO</t>
        </is>
      </c>
      <c r="G145" t="n">
        <v>1.2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3258-2023</t>
        </is>
      </c>
      <c r="B146" s="1" t="n">
        <v>44948</v>
      </c>
      <c r="C146" s="1" t="n">
        <v>46073</v>
      </c>
      <c r="D146" t="inlineStr">
        <is>
          <t>SKÅNE LÄN</t>
        </is>
      </c>
      <c r="E146" t="inlineStr">
        <is>
          <t>SJÖBO</t>
        </is>
      </c>
      <c r="G146" t="n">
        <v>0.7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22330-2024</t>
        </is>
      </c>
      <c r="B147" s="1" t="n">
        <v>45446</v>
      </c>
      <c r="C147" s="1" t="n">
        <v>46073</v>
      </c>
      <c r="D147" t="inlineStr">
        <is>
          <t>SKÅNE LÄN</t>
        </is>
      </c>
      <c r="E147" t="inlineStr">
        <is>
          <t>SJÖBO</t>
        </is>
      </c>
      <c r="G147" t="n">
        <v>4.4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2449-2023</t>
        </is>
      </c>
      <c r="B148" s="1" t="n">
        <v>44943.43438657407</v>
      </c>
      <c r="C148" s="1" t="n">
        <v>46073</v>
      </c>
      <c r="D148" t="inlineStr">
        <is>
          <t>SKÅNE LÄN</t>
        </is>
      </c>
      <c r="E148" t="inlineStr">
        <is>
          <t>SJÖBO</t>
        </is>
      </c>
      <c r="G148" t="n">
        <v>0.7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>
      <c r="A149" t="inlineStr">
        <is>
          <t>A 26730-2023</t>
        </is>
      </c>
      <c r="B149" s="1" t="n">
        <v>45090</v>
      </c>
      <c r="C149" s="1" t="n">
        <v>46073</v>
      </c>
      <c r="D149" t="inlineStr">
        <is>
          <t>SKÅNE LÄN</t>
        </is>
      </c>
      <c r="E149" t="inlineStr">
        <is>
          <t>SJÖBO</t>
        </is>
      </c>
      <c r="F149" t="inlineStr">
        <is>
          <t>Sveaskog</t>
        </is>
      </c>
      <c r="G149" t="n">
        <v>2.4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2026-02-20T11:03:28Z</dcterms:created>
  <dcterms:modified xmlns:dcterms="http://purl.org/dc/terms/" xmlns:xsi="http://www.w3.org/2001/XMLSchema-instance" xsi:type="dcterms:W3CDTF">2026-02-20T11:03:28Z</dcterms:modified>
</cp:coreProperties>
</file>