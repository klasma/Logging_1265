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46175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46175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46175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46175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46175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3765-2026</t>
        </is>
      </c>
      <c r="B11" s="1" t="n">
        <v>46043</v>
      </c>
      <c r="C11" s="1" t="n">
        <v>46175</v>
      </c>
      <c r="D11" t="inlineStr">
        <is>
          <t>SKÅNE LÄN</t>
        </is>
      </c>
      <c r="E11" t="inlineStr">
        <is>
          <t>SJÖBO</t>
        </is>
      </c>
      <c r="G11" t="n">
        <v>5.6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3765-2026 artfynd.xlsx", "A 3765-2026")</f>
        <v/>
      </c>
      <c r="T11">
        <f>HYPERLINK("https://klasma.github.io/Logging_1265/kartor/A 3765-2026 karta.png", "A 3765-2026")</f>
        <v/>
      </c>
      <c r="V11">
        <f>HYPERLINK("https://klasma.github.io/Logging_1265/klagomål/A 3765-2026 FSC-klagomål.docx", "A 3765-2026")</f>
        <v/>
      </c>
      <c r="W11">
        <f>HYPERLINK("https://klasma.github.io/Logging_1265/klagomålsmail/A 3765-2026 FSC-klagomål mail.docx", "A 3765-2026")</f>
        <v/>
      </c>
      <c r="X11">
        <f>HYPERLINK("https://klasma.github.io/Logging_1265/tillsyn/A 3765-2026 tillsynsbegäran.docx", "A 3765-2026")</f>
        <v/>
      </c>
      <c r="Y11">
        <f>HYPERLINK("https://klasma.github.io/Logging_1265/tillsynsmail/A 3765-2026 tillsynsbegäran mail.docx", "A 3765-2026")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46175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46175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46175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46175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46175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46175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46175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24914-2025</t>
        </is>
      </c>
      <c r="B19" s="1" t="n">
        <v>45799</v>
      </c>
      <c r="C19" s="1" t="n">
        <v>46175</v>
      </c>
      <c r="D19" t="inlineStr">
        <is>
          <t>SKÅNE LÄN</t>
        </is>
      </c>
      <c r="E19" t="inlineStr">
        <is>
          <t>SJÖBO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Hårig tallbastborre</t>
        </is>
      </c>
      <c r="S19">
        <f>HYPERLINK("https://klasma.github.io/Logging_1265/artfynd/A 24914-2025 artfynd.xlsx", "A 24914-2025")</f>
        <v/>
      </c>
      <c r="T19">
        <f>HYPERLINK("https://klasma.github.io/Logging_1265/kartor/A 24914-2025 karta.png", "A 24914-2025")</f>
        <v/>
      </c>
      <c r="V19">
        <f>HYPERLINK("https://klasma.github.io/Logging_1265/klagomål/A 24914-2025 FSC-klagomål.docx", "A 24914-2025")</f>
        <v/>
      </c>
      <c r="W19">
        <f>HYPERLINK("https://klasma.github.io/Logging_1265/klagomålsmail/A 24914-2025 FSC-klagomål mail.docx", "A 24914-2025")</f>
        <v/>
      </c>
      <c r="X19">
        <f>HYPERLINK("https://klasma.github.io/Logging_1265/tillsyn/A 24914-2025 tillsynsbegäran.docx", "A 24914-2025")</f>
        <v/>
      </c>
      <c r="Y19">
        <f>HYPERLINK("https://klasma.github.io/Logging_1265/tillsynsmail/A 24914-2025 tillsynsbegäran mail.docx", "A 24914-2025")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46175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46175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46175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46175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46175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46175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46175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46175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46175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46175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46175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46175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19883-2024</t>
        </is>
      </c>
      <c r="B37" s="1" t="n">
        <v>45433</v>
      </c>
      <c r="C37" s="1" t="n">
        <v>46175</v>
      </c>
      <c r="D37" t="inlineStr">
        <is>
          <t>SKÅNE LÄN</t>
        </is>
      </c>
      <c r="E37" t="inlineStr">
        <is>
          <t>SJÖBO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46175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46175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46175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46175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1235-2022</t>
        </is>
      </c>
      <c r="B42" s="1" t="n">
        <v>44572.58090277778</v>
      </c>
      <c r="C42" s="1" t="n">
        <v>46175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46175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29821-2025</t>
        </is>
      </c>
      <c r="B44" s="1" t="n">
        <v>45825.84996527778</v>
      </c>
      <c r="C44" s="1" t="n">
        <v>46175</v>
      </c>
      <c r="D44" t="inlineStr">
        <is>
          <t>SKÅNE LÄN</t>
        </is>
      </c>
      <c r="E44" t="inlineStr">
        <is>
          <t>SJÖBO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11500-2024</t>
        </is>
      </c>
      <c r="B45" s="1" t="n">
        <v>45372</v>
      </c>
      <c r="C45" s="1" t="n">
        <v>46175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36414-2023</t>
        </is>
      </c>
      <c r="B46" s="1" t="n">
        <v>45152</v>
      </c>
      <c r="C46" s="1" t="n">
        <v>46175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30451-2025</t>
        </is>
      </c>
      <c r="B47" s="1" t="n">
        <v>45827</v>
      </c>
      <c r="C47" s="1" t="n">
        <v>46175</v>
      </c>
      <c r="D47" t="inlineStr">
        <is>
          <t>SKÅNE LÄN</t>
        </is>
      </c>
      <c r="E47" t="inlineStr">
        <is>
          <t>SJÖBO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30453-2025</t>
        </is>
      </c>
      <c r="B48" s="1" t="n">
        <v>45827</v>
      </c>
      <c r="C48" s="1" t="n">
        <v>46175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4663-2026</t>
        </is>
      </c>
      <c r="B49" s="1" t="n">
        <v>46048.4096875</v>
      </c>
      <c r="C49" s="1" t="n">
        <v>46175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30343-2025</t>
        </is>
      </c>
      <c r="B50" s="1" t="n">
        <v>45827</v>
      </c>
      <c r="C50" s="1" t="n">
        <v>46175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16979-2025</t>
        </is>
      </c>
      <c r="B51" s="1" t="n">
        <v>45755</v>
      </c>
      <c r="C51" s="1" t="n">
        <v>46175</v>
      </c>
      <c r="D51" t="inlineStr">
        <is>
          <t>SKÅNE LÄN</t>
        </is>
      </c>
      <c r="E51" t="inlineStr">
        <is>
          <t>SJÖBO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46175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62798-2025</t>
        </is>
      </c>
      <c r="B53" s="1" t="n">
        <v>46008</v>
      </c>
      <c r="C53" s="1" t="n">
        <v>46175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62807-2025</t>
        </is>
      </c>
      <c r="B54" s="1" t="n">
        <v>46008</v>
      </c>
      <c r="C54" s="1" t="n">
        <v>46175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45348-2024</t>
        </is>
      </c>
      <c r="B55" s="1" t="n">
        <v>45576.47644675926</v>
      </c>
      <c r="C55" s="1" t="n">
        <v>46175</v>
      </c>
      <c r="D55" t="inlineStr">
        <is>
          <t>SKÅNE LÄN</t>
        </is>
      </c>
      <c r="E55" t="inlineStr">
        <is>
          <t>SJÖBO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46175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19880-2024</t>
        </is>
      </c>
      <c r="B57" s="1" t="n">
        <v>45433</v>
      </c>
      <c r="C57" s="1" t="n">
        <v>46175</v>
      </c>
      <c r="D57" t="inlineStr">
        <is>
          <t>SKÅNE LÄN</t>
        </is>
      </c>
      <c r="E57" t="inlineStr">
        <is>
          <t>SJÖBO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34173-2025</t>
        </is>
      </c>
      <c r="B58" s="1" t="n">
        <v>45845.5909837963</v>
      </c>
      <c r="C58" s="1" t="n">
        <v>46175</v>
      </c>
      <c r="D58" t="inlineStr">
        <is>
          <t>SKÅNE LÄN</t>
        </is>
      </c>
      <c r="E58" t="inlineStr">
        <is>
          <t>SJÖBO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46175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34115-2025</t>
        </is>
      </c>
      <c r="B60" s="1" t="n">
        <v>45845.50957175926</v>
      </c>
      <c r="C60" s="1" t="n">
        <v>46175</v>
      </c>
      <c r="D60" t="inlineStr">
        <is>
          <t>SKÅNE LÄN</t>
        </is>
      </c>
      <c r="E60" t="inlineStr">
        <is>
          <t>SJÖBO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34157-2025</t>
        </is>
      </c>
      <c r="B61" s="1" t="n">
        <v>45845.5739699074</v>
      </c>
      <c r="C61" s="1" t="n">
        <v>46175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46175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52958-2024</t>
        </is>
      </c>
      <c r="B63" s="1" t="n">
        <v>45611.26017361111</v>
      </c>
      <c r="C63" s="1" t="n">
        <v>46175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46175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14747-2023</t>
        </is>
      </c>
      <c r="B65" s="1" t="n">
        <v>45014</v>
      </c>
      <c r="C65" s="1" t="n">
        <v>46175</v>
      </c>
      <c r="D65" t="inlineStr">
        <is>
          <t>SKÅNE LÄN</t>
        </is>
      </c>
      <c r="E65" t="inlineStr">
        <is>
          <t>SJÖBO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8862-2025</t>
        </is>
      </c>
      <c r="B66" s="1" t="n">
        <v>45713</v>
      </c>
      <c r="C66" s="1" t="n">
        <v>46175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14573-2026</t>
        </is>
      </c>
      <c r="B67" s="1" t="n">
        <v>46101.28510416667</v>
      </c>
      <c r="C67" s="1" t="n">
        <v>46175</v>
      </c>
      <c r="D67" t="inlineStr">
        <is>
          <t>SKÅNE LÄN</t>
        </is>
      </c>
      <c r="E67" t="inlineStr">
        <is>
          <t>SJÖBO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14572-2026</t>
        </is>
      </c>
      <c r="B68" s="1" t="n">
        <v>46101.27979166667</v>
      </c>
      <c r="C68" s="1" t="n">
        <v>46175</v>
      </c>
      <c r="D68" t="inlineStr">
        <is>
          <t>SKÅNE LÄN</t>
        </is>
      </c>
      <c r="E68" t="inlineStr">
        <is>
          <t>SJÖBO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47943-2023</t>
        </is>
      </c>
      <c r="B69" s="1" t="n">
        <v>45204</v>
      </c>
      <c r="C69" s="1" t="n">
        <v>46175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1879-2025</t>
        </is>
      </c>
      <c r="B70" s="1" t="n">
        <v>45671</v>
      </c>
      <c r="C70" s="1" t="n">
        <v>46175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34780-2025</t>
        </is>
      </c>
      <c r="B71" s="1" t="n">
        <v>45848</v>
      </c>
      <c r="C71" s="1" t="n">
        <v>46175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35454-2025</t>
        </is>
      </c>
      <c r="B72" s="1" t="n">
        <v>45855</v>
      </c>
      <c r="C72" s="1" t="n">
        <v>46175</v>
      </c>
      <c r="D72" t="inlineStr">
        <is>
          <t>SKÅNE LÄN</t>
        </is>
      </c>
      <c r="E72" t="inlineStr">
        <is>
          <t>SJÖBO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21479-2026</t>
        </is>
      </c>
      <c r="B73" s="1" t="n">
        <v>46148</v>
      </c>
      <c r="C73" s="1" t="n">
        <v>46175</v>
      </c>
      <c r="D73" t="inlineStr">
        <is>
          <t>SKÅNE LÄN</t>
        </is>
      </c>
      <c r="E73" t="inlineStr">
        <is>
          <t>SJÖBO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47180-2025</t>
        </is>
      </c>
      <c r="B74" s="1" t="n">
        <v>45930</v>
      </c>
      <c r="C74" s="1" t="n">
        <v>46175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46175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1865-2025</t>
        </is>
      </c>
      <c r="B76" s="1" t="n">
        <v>45671</v>
      </c>
      <c r="C76" s="1" t="n">
        <v>46175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56137-2021</t>
        </is>
      </c>
      <c r="B77" s="1" t="n">
        <v>44477</v>
      </c>
      <c r="C77" s="1" t="n">
        <v>46175</v>
      </c>
      <c r="D77" t="inlineStr">
        <is>
          <t>SKÅNE LÄN</t>
        </is>
      </c>
      <c r="E77" t="inlineStr">
        <is>
          <t>SJÖBO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46175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46175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50816-2025</t>
        </is>
      </c>
      <c r="B80" s="1" t="n">
        <v>45946.53009259259</v>
      </c>
      <c r="C80" s="1" t="n">
        <v>46175</v>
      </c>
      <c r="D80" t="inlineStr">
        <is>
          <t>SKÅNE LÄN</t>
        </is>
      </c>
      <c r="E80" t="inlineStr">
        <is>
          <t>SJÖBO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50815-2025</t>
        </is>
      </c>
      <c r="B81" s="1" t="n">
        <v>45946.52924768518</v>
      </c>
      <c r="C81" s="1" t="n">
        <v>46175</v>
      </c>
      <c r="D81" t="inlineStr">
        <is>
          <t>SKÅNE LÄN</t>
        </is>
      </c>
      <c r="E81" t="inlineStr">
        <is>
          <t>SJÖBO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46175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70933-2021</t>
        </is>
      </c>
      <c r="B83" s="1" t="n">
        <v>44538</v>
      </c>
      <c r="C83" s="1" t="n">
        <v>46175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7059-2025</t>
        </is>
      </c>
      <c r="B84" s="1" t="n">
        <v>45701.65484953704</v>
      </c>
      <c r="C84" s="1" t="n">
        <v>46175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46175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24421-2026</t>
        </is>
      </c>
      <c r="B86" s="1" t="n">
        <v>46169</v>
      </c>
      <c r="C86" s="1" t="n">
        <v>46175</v>
      </c>
      <c r="D86" t="inlineStr">
        <is>
          <t>SKÅNE LÄN</t>
        </is>
      </c>
      <c r="E86" t="inlineStr">
        <is>
          <t>SJÖBO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28923-2023</t>
        </is>
      </c>
      <c r="B87" s="1" t="n">
        <v>45104</v>
      </c>
      <c r="C87" s="1" t="n">
        <v>46175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51153-2024</t>
        </is>
      </c>
      <c r="B88" s="1" t="n">
        <v>45603.57090277778</v>
      </c>
      <c r="C88" s="1" t="n">
        <v>46175</v>
      </c>
      <c r="D88" t="inlineStr">
        <is>
          <t>SKÅNE LÄN</t>
        </is>
      </c>
      <c r="E88" t="inlineStr">
        <is>
          <t>SJÖBO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31403-2023</t>
        </is>
      </c>
      <c r="B89" s="1" t="n">
        <v>45114</v>
      </c>
      <c r="C89" s="1" t="n">
        <v>46175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60900-2025</t>
        </is>
      </c>
      <c r="B90" s="1" t="n">
        <v>45999</v>
      </c>
      <c r="C90" s="1" t="n">
        <v>46175</v>
      </c>
      <c r="D90" t="inlineStr">
        <is>
          <t>SKÅNE LÄN</t>
        </is>
      </c>
      <c r="E90" t="inlineStr">
        <is>
          <t>SJÖBO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61431-2025</t>
        </is>
      </c>
      <c r="B91" s="1" t="n">
        <v>46001.55604166666</v>
      </c>
      <c r="C91" s="1" t="n">
        <v>46175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5444-2025</t>
        </is>
      </c>
      <c r="B92" s="1" t="n">
        <v>45692</v>
      </c>
      <c r="C92" s="1" t="n">
        <v>46175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46175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16346-2024</t>
        </is>
      </c>
      <c r="B94" s="1" t="n">
        <v>45407.56798611111</v>
      </c>
      <c r="C94" s="1" t="n">
        <v>46175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46175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46175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34776-2023</t>
        </is>
      </c>
      <c r="B97" s="1" t="n">
        <v>45140</v>
      </c>
      <c r="C97" s="1" t="n">
        <v>46175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45925-2023</t>
        </is>
      </c>
      <c r="B98" s="1" t="n">
        <v>45189</v>
      </c>
      <c r="C98" s="1" t="n">
        <v>46175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10454-2022</t>
        </is>
      </c>
      <c r="B99" s="1" t="n">
        <v>44623</v>
      </c>
      <c r="C99" s="1" t="n">
        <v>46175</v>
      </c>
      <c r="D99" t="inlineStr">
        <is>
          <t>SKÅNE LÄN</t>
        </is>
      </c>
      <c r="E99" t="inlineStr">
        <is>
          <t>SJÖBO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19884-2024</t>
        </is>
      </c>
      <c r="B100" s="1" t="n">
        <v>45433</v>
      </c>
      <c r="C100" s="1" t="n">
        <v>46175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22425-2024</t>
        </is>
      </c>
      <c r="B101" s="1" t="n">
        <v>45446</v>
      </c>
      <c r="C101" s="1" t="n">
        <v>46175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43745-2023</t>
        </is>
      </c>
      <c r="B102" s="1" t="n">
        <v>45187.47180555556</v>
      </c>
      <c r="C102" s="1" t="n">
        <v>46175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60371-2023</t>
        </is>
      </c>
      <c r="B103" s="1" t="n">
        <v>45259</v>
      </c>
      <c r="C103" s="1" t="n">
        <v>46175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3643-2026</t>
        </is>
      </c>
      <c r="B104" s="1" t="n">
        <v>46043.35827546296</v>
      </c>
      <c r="C104" s="1" t="n">
        <v>46175</v>
      </c>
      <c r="D104" t="inlineStr">
        <is>
          <t>SKÅNE LÄN</t>
        </is>
      </c>
      <c r="E104" t="inlineStr">
        <is>
          <t>SJÖBO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46397-2023</t>
        </is>
      </c>
      <c r="B105" s="1" t="n">
        <v>45191</v>
      </c>
      <c r="C105" s="1" t="n">
        <v>46175</v>
      </c>
      <c r="D105" t="inlineStr">
        <is>
          <t>SKÅNE LÄN</t>
        </is>
      </c>
      <c r="E105" t="inlineStr">
        <is>
          <t>SJÖBO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50798-2023</t>
        </is>
      </c>
      <c r="B106" s="1" t="n">
        <v>45217</v>
      </c>
      <c r="C106" s="1" t="n">
        <v>46175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5197-2026</t>
        </is>
      </c>
      <c r="B107" s="1" t="n">
        <v>46049.66547453704</v>
      </c>
      <c r="C107" s="1" t="n">
        <v>46175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46175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5404-2026</t>
        </is>
      </c>
      <c r="B109" s="1" t="n">
        <v>46049</v>
      </c>
      <c r="C109" s="1" t="n">
        <v>46175</v>
      </c>
      <c r="D109" t="inlineStr">
        <is>
          <t>SKÅNE LÄN</t>
        </is>
      </c>
      <c r="E109" t="inlineStr">
        <is>
          <t>SJÖBO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7474-2026</t>
        </is>
      </c>
      <c r="B110" s="1" t="n">
        <v>46059.49254629629</v>
      </c>
      <c r="C110" s="1" t="n">
        <v>46175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27237-2024</t>
        </is>
      </c>
      <c r="B111" s="1" t="n">
        <v>45471</v>
      </c>
      <c r="C111" s="1" t="n">
        <v>46175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39414-2023</t>
        </is>
      </c>
      <c r="B112" s="1" t="n">
        <v>45163</v>
      </c>
      <c r="C112" s="1" t="n">
        <v>46175</v>
      </c>
      <c r="D112" t="inlineStr">
        <is>
          <t>SKÅNE LÄN</t>
        </is>
      </c>
      <c r="E112" t="inlineStr">
        <is>
          <t>SJÖBO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46175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61031-2022</t>
        </is>
      </c>
      <c r="B114" s="1" t="n">
        <v>44914</v>
      </c>
      <c r="C114" s="1" t="n">
        <v>46175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46175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45007.40105324074</v>
      </c>
      <c r="C116" s="1" t="n">
        <v>46175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2026-2022</t>
        </is>
      </c>
      <c r="B117" s="1" t="n">
        <v>44575</v>
      </c>
      <c r="C117" s="1" t="n">
        <v>46175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64905-2023</t>
        </is>
      </c>
      <c r="B118" s="1" t="n">
        <v>45282</v>
      </c>
      <c r="C118" s="1" t="n">
        <v>46175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21425-2022</t>
        </is>
      </c>
      <c r="B119" s="1" t="n">
        <v>44706</v>
      </c>
      <c r="C119" s="1" t="n">
        <v>46175</v>
      </c>
      <c r="D119" t="inlineStr">
        <is>
          <t>SKÅNE LÄN</t>
        </is>
      </c>
      <c r="E119" t="inlineStr">
        <is>
          <t>SJÖBO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46175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46175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6229-2022</t>
        </is>
      </c>
      <c r="B122" s="1" t="n">
        <v>44600</v>
      </c>
      <c r="C122" s="1" t="n">
        <v>46175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49298-2023</t>
        </is>
      </c>
      <c r="B123" s="1" t="n">
        <v>45210.86210648148</v>
      </c>
      <c r="C123" s="1" t="n">
        <v>46175</v>
      </c>
      <c r="D123" t="inlineStr">
        <is>
          <t>SKÅNE LÄN</t>
        </is>
      </c>
      <c r="E123" t="inlineStr">
        <is>
          <t>SJÖBO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45666.64070601852</v>
      </c>
      <c r="C124" s="1" t="n">
        <v>46175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18973-2023</t>
        </is>
      </c>
      <c r="B125" s="1" t="n">
        <v>45044</v>
      </c>
      <c r="C125" s="1" t="n">
        <v>46175</v>
      </c>
      <c r="D125" t="inlineStr">
        <is>
          <t>SKÅNE LÄN</t>
        </is>
      </c>
      <c r="E125" t="inlineStr">
        <is>
          <t>SJÖBO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39407-2023</t>
        </is>
      </c>
      <c r="B126" s="1" t="n">
        <v>45163</v>
      </c>
      <c r="C126" s="1" t="n">
        <v>46175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22406-2022</t>
        </is>
      </c>
      <c r="B127" s="1" t="n">
        <v>44713</v>
      </c>
      <c r="C127" s="1" t="n">
        <v>46175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46175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46175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46175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46175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46175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46175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46175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46175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46175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46175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46175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46175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46175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46175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46175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46175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60947-2024</t>
        </is>
      </c>
      <c r="B144" s="1" t="n">
        <v>45645.38118055555</v>
      </c>
      <c r="C144" s="1" t="n">
        <v>46175</v>
      </c>
      <c r="D144" t="inlineStr">
        <is>
          <t>SKÅNE LÄN</t>
        </is>
      </c>
      <c r="E144" t="inlineStr">
        <is>
          <t>SJÖBO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8859-2025</t>
        </is>
      </c>
      <c r="B145" s="1" t="n">
        <v>45713</v>
      </c>
      <c r="C145" s="1" t="n">
        <v>46175</v>
      </c>
      <c r="D145" t="inlineStr">
        <is>
          <t>SKÅNE LÄN</t>
        </is>
      </c>
      <c r="E145" t="inlineStr">
        <is>
          <t>SJÖBO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44580-2023</t>
        </is>
      </c>
      <c r="B146" s="1" t="n">
        <v>45189</v>
      </c>
      <c r="C146" s="1" t="n">
        <v>46175</v>
      </c>
      <c r="D146" t="inlineStr">
        <is>
          <t>SKÅNE LÄN</t>
        </is>
      </c>
      <c r="E146" t="inlineStr">
        <is>
          <t>SJÖBO</t>
        </is>
      </c>
      <c r="F146" t="inlineStr">
        <is>
          <t>Kommuner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24833-2025</t>
        </is>
      </c>
      <c r="B147" s="1" t="n">
        <v>45799.45917824074</v>
      </c>
      <c r="C147" s="1" t="n">
        <v>46175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24830-2025</t>
        </is>
      </c>
      <c r="B148" s="1" t="n">
        <v>45799.45798611111</v>
      </c>
      <c r="C148" s="1" t="n">
        <v>46175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2026-06-02T10:53:16Z</dcterms:created>
  <dcterms:modified xmlns:dcterms="http://purl.org/dc/terms/" xmlns:xsi="http://www.w3.org/2001/XMLSchema-instance" xsi:type="dcterms:W3CDTF">2026-06-02T10:53:16Z</dcterms:modified>
</cp:coreProperties>
</file>