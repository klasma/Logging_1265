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46194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46194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51368-2025</t>
        </is>
      </c>
      <c r="B5" s="1" t="n">
        <v>45950</v>
      </c>
      <c r="C5" s="1" t="n">
        <v>46194</v>
      </c>
      <c r="D5" t="inlineStr">
        <is>
          <t>SKÅNE LÄN</t>
        </is>
      </c>
      <c r="E5" t="inlineStr">
        <is>
          <t>SJÖBO</t>
        </is>
      </c>
      <c r="G5" t="n">
        <v>2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Läderbagge
Större vattensalamander
Mindre vattensalamander
Ängsnycklar</t>
        </is>
      </c>
      <c r="S5">
        <f>HYPERLINK("https://klasma.github.io/Logging_1265/artfynd/A 51368-2025 artfynd.xlsx", "A 51368-2025")</f>
        <v/>
      </c>
      <c r="T5">
        <f>HYPERLINK("https://klasma.github.io/Logging_1265/kartor/A 51368-2025 karta.png", "A 51368-2025")</f>
        <v/>
      </c>
      <c r="V5">
        <f>HYPERLINK("https://klasma.github.io/Logging_1265/klagomål/A 51368-2025 FSC-klagomål.docx", "A 51368-2025")</f>
        <v/>
      </c>
      <c r="W5">
        <f>HYPERLINK("https://klasma.github.io/Logging_1265/klagomålsmail/A 51368-2025 FSC-klagomål mail.docx", "A 51368-2025")</f>
        <v/>
      </c>
      <c r="X5">
        <f>HYPERLINK("https://klasma.github.io/Logging_1265/tillsyn/A 51368-2025 tillsynsbegäran.docx", "A 51368-2025")</f>
        <v/>
      </c>
      <c r="Y5">
        <f>HYPERLINK("https://klasma.github.io/Logging_1265/tillsynsmail/A 51368-2025 tillsynsbegäran mail.docx", "A 51368-2025")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46194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Crunoecia irrorata
Skugglosta
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30451-2025</t>
        </is>
      </c>
      <c r="B7" s="1" t="n">
        <v>45827</v>
      </c>
      <c r="C7" s="1" t="n">
        <v>46194</v>
      </c>
      <c r="D7" t="inlineStr">
        <is>
          <t>SKÅNE LÄN</t>
        </is>
      </c>
      <c r="E7" t="inlineStr">
        <is>
          <t>SJÖBO</t>
        </is>
      </c>
      <c r="G7" t="n">
        <v>2.1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Bokstumpbagge
Gråbandad trägnagare
Skogsveronika
Vanlig snok</t>
        </is>
      </c>
      <c r="S7">
        <f>HYPERLINK("https://klasma.github.io/Logging_1265/artfynd/A 30451-2025 artfynd.xlsx", "A 30451-2025")</f>
        <v/>
      </c>
      <c r="T7">
        <f>HYPERLINK("https://klasma.github.io/Logging_1265/kartor/A 30451-2025 karta.png", "A 30451-2025")</f>
        <v/>
      </c>
      <c r="V7">
        <f>HYPERLINK("https://klasma.github.io/Logging_1265/klagomål/A 30451-2025 FSC-klagomål.docx", "A 30451-2025")</f>
        <v/>
      </c>
      <c r="W7">
        <f>HYPERLINK("https://klasma.github.io/Logging_1265/klagomålsmail/A 30451-2025 FSC-klagomål mail.docx", "A 30451-2025")</f>
        <v/>
      </c>
      <c r="X7">
        <f>HYPERLINK("https://klasma.github.io/Logging_1265/tillsyn/A 30451-2025 tillsynsbegäran.docx", "A 30451-2025")</f>
        <v/>
      </c>
      <c r="Y7">
        <f>HYPERLINK("https://klasma.github.io/Logging_1265/tillsynsmail/A 30451-2025 tillsynsbegäran mail.docx", "A 30451-2025")</f>
        <v/>
      </c>
    </row>
    <row r="8" ht="15" customHeight="1">
      <c r="A8" t="inlineStr">
        <is>
          <t>A 22337-2024</t>
        </is>
      </c>
      <c r="B8" s="1" t="n">
        <v>45446</v>
      </c>
      <c r="C8" s="1" t="n">
        <v>46194</v>
      </c>
      <c r="D8" t="inlineStr">
        <is>
          <t>SKÅNE LÄN</t>
        </is>
      </c>
      <c r="E8" t="inlineStr">
        <is>
          <t>SJÖBO</t>
        </is>
      </c>
      <c r="G8" t="n">
        <v>12.6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Fläcklungört
Kransrams
Myskmadra
Skogsknipprot</t>
        </is>
      </c>
      <c r="S8">
        <f>HYPERLINK("https://klasma.github.io/Logging_1265/artfynd/A 22337-2024 artfynd.xlsx", "A 22337-2024")</f>
        <v/>
      </c>
      <c r="T8">
        <f>HYPERLINK("https://klasma.github.io/Logging_1265/kartor/A 22337-2024 karta.png", "A 22337-2024")</f>
        <v/>
      </c>
      <c r="V8">
        <f>HYPERLINK("https://klasma.github.io/Logging_1265/klagomål/A 22337-2024 FSC-klagomål.docx", "A 22337-2024")</f>
        <v/>
      </c>
      <c r="W8">
        <f>HYPERLINK("https://klasma.github.io/Logging_1265/klagomålsmail/A 22337-2024 FSC-klagomål mail.docx", "A 22337-2024")</f>
        <v/>
      </c>
      <c r="X8">
        <f>HYPERLINK("https://klasma.github.io/Logging_1265/tillsyn/A 22337-2024 tillsynsbegäran.docx", "A 22337-2024")</f>
        <v/>
      </c>
      <c r="Y8">
        <f>HYPERLINK("https://klasma.github.io/Logging_1265/tillsynsmail/A 22337-2024 tillsynsbegäran mail.docx", "A 22337-2024")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16340-2024</t>
        </is>
      </c>
      <c r="B10" s="1" t="n">
        <v>45407</v>
      </c>
      <c r="C10" s="1" t="n">
        <v>46194</v>
      </c>
      <c r="D10" t="inlineStr">
        <is>
          <t>SKÅNE LÄN</t>
        </is>
      </c>
      <c r="E10" t="inlineStr">
        <is>
          <t>SJÖBO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HYPERLINK("https://klasma.github.io/Logging_1265/artfynd/A 16340-2024 artfynd.xlsx", "A 16340-2024")</f>
        <v/>
      </c>
      <c r="T10">
        <f>HYPERLINK("https://klasma.github.io/Logging_1265/kartor/A 16340-2024 karta.png", "A 16340-2024")</f>
        <v/>
      </c>
      <c r="V10">
        <f>HYPERLINK("https://klasma.github.io/Logging_1265/klagomål/A 16340-2024 FSC-klagomål.docx", "A 16340-2024")</f>
        <v/>
      </c>
      <c r="W10">
        <f>HYPERLINK("https://klasma.github.io/Logging_1265/klagomålsmail/A 16340-2024 FSC-klagomål mail.docx", "A 16340-2024")</f>
        <v/>
      </c>
      <c r="X10">
        <f>HYPERLINK("https://klasma.github.io/Logging_1265/tillsyn/A 16340-2024 tillsynsbegäran.docx", "A 16340-2024")</f>
        <v/>
      </c>
      <c r="Y10">
        <f>HYPERLINK("https://klasma.github.io/Logging_1265/tillsynsmail/A 16340-2024 tillsynsbegäran mail.docx", "A 16340-2024")</f>
        <v/>
      </c>
    </row>
    <row r="11" ht="15" customHeight="1">
      <c r="A11" t="inlineStr">
        <is>
          <t>A 50816-2025</t>
        </is>
      </c>
      <c r="B11" s="1" t="n">
        <v>45946</v>
      </c>
      <c r="C11" s="1" t="n">
        <v>46194</v>
      </c>
      <c r="D11" t="inlineStr">
        <is>
          <t>SKÅNE LÄN</t>
        </is>
      </c>
      <c r="E11" t="inlineStr">
        <is>
          <t>SJÖBO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Ängsmetallvinge
Lövgroda</t>
        </is>
      </c>
      <c r="S11">
        <f>HYPERLINK("https://klasma.github.io/Logging_1265/artfynd/A 50816-2025 artfynd.xlsx", "A 50816-2025")</f>
        <v/>
      </c>
      <c r="T11">
        <f>HYPERLINK("https://klasma.github.io/Logging_1265/kartor/A 50816-2025 karta.png", "A 50816-2025")</f>
        <v/>
      </c>
      <c r="V11">
        <f>HYPERLINK("https://klasma.github.io/Logging_1265/klagomål/A 50816-2025 FSC-klagomål.docx", "A 50816-2025")</f>
        <v/>
      </c>
      <c r="W11">
        <f>HYPERLINK("https://klasma.github.io/Logging_1265/klagomålsmail/A 50816-2025 FSC-klagomål mail.docx", "A 50816-2025")</f>
        <v/>
      </c>
      <c r="X11">
        <f>HYPERLINK("https://klasma.github.io/Logging_1265/tillsyn/A 50816-2025 tillsynsbegäran.docx", "A 50816-2025")</f>
        <v/>
      </c>
      <c r="Y11">
        <f>HYPERLINK("https://klasma.github.io/Logging_1265/tillsynsmail/A 50816-2025 tillsynsbegäran mail.docx", "A 50816-2025")</f>
        <v/>
      </c>
    </row>
    <row r="12" ht="15" customHeight="1">
      <c r="A12" t="inlineStr">
        <is>
          <t>A 26736-2023</t>
        </is>
      </c>
      <c r="B12" s="1" t="n">
        <v>45090</v>
      </c>
      <c r="C12" s="1" t="n">
        <v>46194</v>
      </c>
      <c r="D12" t="inlineStr">
        <is>
          <t>SKÅNE LÄN</t>
        </is>
      </c>
      <c r="E12" t="inlineStr">
        <is>
          <t>SJÖBO</t>
        </is>
      </c>
      <c r="G12" t="n">
        <v>8.300000000000001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Fläcklungört
Månviol</t>
        </is>
      </c>
      <c r="S12">
        <f>HYPERLINK("https://klasma.github.io/Logging_1265/artfynd/A 26736-2023 artfynd.xlsx", "A 26736-2023")</f>
        <v/>
      </c>
      <c r="T12">
        <f>HYPERLINK("https://klasma.github.io/Logging_1265/kartor/A 26736-2023 karta.png", "A 26736-2023")</f>
        <v/>
      </c>
      <c r="V12">
        <f>HYPERLINK("https://klasma.github.io/Logging_1265/klagomål/A 26736-2023 FSC-klagomål.docx", "A 26736-2023")</f>
        <v/>
      </c>
      <c r="W12">
        <f>HYPERLINK("https://klasma.github.io/Logging_1265/klagomålsmail/A 26736-2023 FSC-klagomål mail.docx", "A 26736-2023")</f>
        <v/>
      </c>
      <c r="X12">
        <f>HYPERLINK("https://klasma.github.io/Logging_1265/tillsyn/A 26736-2023 tillsynsbegäran.docx", "A 26736-2023")</f>
        <v/>
      </c>
      <c r="Y12">
        <f>HYPERLINK("https://klasma.github.io/Logging_1265/tillsynsmail/A 26736-2023 tillsynsbegäran mail.docx", "A 26736-2023")</f>
        <v/>
      </c>
    </row>
    <row r="13" ht="15" customHeight="1">
      <c r="A13" t="inlineStr">
        <is>
          <t>A 5166-2026</t>
        </is>
      </c>
      <c r="B13" s="1" t="n">
        <v>46049</v>
      </c>
      <c r="C13" s="1" t="n">
        <v>46194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  <c r="Z13">
        <f>HYPERLINK("https://klasma.github.io/Logging_1265/fåglar/A 5166-2026 prioriterade fågelarter.docx", "A 5166-2026")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46194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21425-2022</t>
        </is>
      </c>
      <c r="B15" s="1" t="n">
        <v>44706</v>
      </c>
      <c r="C15" s="1" t="n">
        <v>46194</v>
      </c>
      <c r="D15" t="inlineStr">
        <is>
          <t>SKÅNE LÄN</t>
        </is>
      </c>
      <c r="E15" t="inlineStr">
        <is>
          <t>SJÖBO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Gullpudra</t>
        </is>
      </c>
      <c r="S15">
        <f>HYPERLINK("https://klasma.github.io/Logging_1265/artfynd/A 21425-2022 artfynd.xlsx", "A 21425-2022")</f>
        <v/>
      </c>
      <c r="T15">
        <f>HYPERLINK("https://klasma.github.io/Logging_1265/kartor/A 21425-2022 karta.png", "A 21425-2022")</f>
        <v/>
      </c>
      <c r="V15">
        <f>HYPERLINK("https://klasma.github.io/Logging_1265/klagomål/A 21425-2022 FSC-klagomål.docx", "A 21425-2022")</f>
        <v/>
      </c>
      <c r="W15">
        <f>HYPERLINK("https://klasma.github.io/Logging_1265/klagomålsmail/A 21425-2022 FSC-klagomål mail.docx", "A 21425-2022")</f>
        <v/>
      </c>
      <c r="X15">
        <f>HYPERLINK("https://klasma.github.io/Logging_1265/tillsyn/A 21425-2022 tillsynsbegäran.docx", "A 21425-2022")</f>
        <v/>
      </c>
      <c r="Y15">
        <f>HYPERLINK("https://klasma.github.io/Logging_1265/tillsynsmail/A 21425-2022 tillsynsbegäran mail.docx", "A 21425-2022")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46194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46194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47943-2023</t>
        </is>
      </c>
      <c r="B18" s="1" t="n">
        <v>45204</v>
      </c>
      <c r="C18" s="1" t="n">
        <v>46194</v>
      </c>
      <c r="D18" t="inlineStr">
        <is>
          <t>SKÅNE LÄN</t>
        </is>
      </c>
      <c r="E18" t="inlineStr">
        <is>
          <t>SJÖBO</t>
        </is>
      </c>
      <c r="G18" t="n">
        <v>6.1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47943-2023 artfynd.xlsx", "A 47943-2023")</f>
        <v/>
      </c>
      <c r="T18">
        <f>HYPERLINK("https://klasma.github.io/Logging_1265/kartor/A 47943-2023 karta.png", "A 47943-2023")</f>
        <v/>
      </c>
      <c r="V18">
        <f>HYPERLINK("https://klasma.github.io/Logging_1265/klagomål/A 47943-2023 FSC-klagomål.docx", "A 47943-2023")</f>
        <v/>
      </c>
      <c r="W18">
        <f>HYPERLINK("https://klasma.github.io/Logging_1265/klagomålsmail/A 47943-2023 FSC-klagomål mail.docx", "A 47943-2023")</f>
        <v/>
      </c>
      <c r="X18">
        <f>HYPERLINK("https://klasma.github.io/Logging_1265/tillsyn/A 47943-2023 tillsynsbegäran.docx", "A 47943-2023")</f>
        <v/>
      </c>
      <c r="Y18">
        <f>HYPERLINK("https://klasma.github.io/Logging_1265/tillsynsmail/A 47943-2023 tillsynsbegäran mail.docx", "A 47943-2023")</f>
        <v/>
      </c>
    </row>
    <row r="19" ht="15" customHeight="1">
      <c r="A19" t="inlineStr">
        <is>
          <t>A 24914-2025</t>
        </is>
      </c>
      <c r="B19" s="1" t="n">
        <v>45799</v>
      </c>
      <c r="C19" s="1" t="n">
        <v>46194</v>
      </c>
      <c r="D19" t="inlineStr">
        <is>
          <t>SKÅNE LÄN</t>
        </is>
      </c>
      <c r="E19" t="inlineStr">
        <is>
          <t>SJÖBO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Hårig tallbastborre</t>
        </is>
      </c>
      <c r="S19">
        <f>HYPERLINK("https://klasma.github.io/Logging_1265/artfynd/A 24914-2025 artfynd.xlsx", "A 24914-2025")</f>
        <v/>
      </c>
      <c r="T19">
        <f>HYPERLINK("https://klasma.github.io/Logging_1265/kartor/A 24914-2025 karta.png", "A 24914-2025")</f>
        <v/>
      </c>
      <c r="V19">
        <f>HYPERLINK("https://klasma.github.io/Logging_1265/klagomål/A 24914-2025 FSC-klagomål.docx", "A 24914-2025")</f>
        <v/>
      </c>
      <c r="W19">
        <f>HYPERLINK("https://klasma.github.io/Logging_1265/klagomålsmail/A 24914-2025 FSC-klagomål mail.docx", "A 24914-2025")</f>
        <v/>
      </c>
      <c r="X19">
        <f>HYPERLINK("https://klasma.github.io/Logging_1265/tillsyn/A 24914-2025 tillsynsbegäran.docx", "A 24914-2025")</f>
        <v/>
      </c>
      <c r="Y19">
        <f>HYPERLINK("https://klasma.github.io/Logging_1265/tillsynsmail/A 24914-2025 tillsynsbegäran mail.docx", "A 24914-2025")</f>
        <v/>
      </c>
    </row>
    <row r="20" ht="15" customHeight="1">
      <c r="A20" t="inlineStr">
        <is>
          <t>A 44580-2023</t>
        </is>
      </c>
      <c r="B20" s="1" t="n">
        <v>45189</v>
      </c>
      <c r="C20" s="1" t="n">
        <v>46194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6.4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Hedblomster</t>
        </is>
      </c>
      <c r="S20">
        <f>HYPERLINK("https://klasma.github.io/Logging_1265/artfynd/A 44580-2023 artfynd.xlsx", "A 44580-2023")</f>
        <v/>
      </c>
      <c r="T20">
        <f>HYPERLINK("https://klasma.github.io/Logging_1265/kartor/A 44580-2023 karta.png", "A 44580-2023")</f>
        <v/>
      </c>
      <c r="V20">
        <f>HYPERLINK("https://klasma.github.io/Logging_1265/klagomål/A 44580-2023 FSC-klagomål.docx", "A 44580-2023")</f>
        <v/>
      </c>
      <c r="W20">
        <f>HYPERLINK("https://klasma.github.io/Logging_1265/klagomålsmail/A 44580-2023 FSC-klagomål mail.docx", "A 44580-2023")</f>
        <v/>
      </c>
      <c r="X20">
        <f>HYPERLINK("https://klasma.github.io/Logging_1265/tillsyn/A 44580-2023 tillsynsbegäran.docx", "A 44580-2023")</f>
        <v/>
      </c>
      <c r="Y20">
        <f>HYPERLINK("https://klasma.github.io/Logging_1265/tillsynsmail/A 44580-2023 tillsynsbegäran mail.docx", "A 44580-2023")</f>
        <v/>
      </c>
    </row>
    <row r="21" ht="15" customHeight="1">
      <c r="A21" t="inlineStr">
        <is>
          <t>A 31678-2025</t>
        </is>
      </c>
      <c r="B21" s="1" t="n">
        <v>45834</v>
      </c>
      <c r="C21" s="1" t="n">
        <v>46194</v>
      </c>
      <c r="D21" t="inlineStr">
        <is>
          <t>SKÅNE LÄN</t>
        </is>
      </c>
      <c r="E21" t="inlineStr">
        <is>
          <t>SJÖBO</t>
        </is>
      </c>
      <c r="G21" t="n">
        <v>3.5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Hedblomster</t>
        </is>
      </c>
      <c r="S21">
        <f>HYPERLINK("https://klasma.github.io/Logging_1265/artfynd/A 31678-2025 artfynd.xlsx", "A 31678-2025")</f>
        <v/>
      </c>
      <c r="T21">
        <f>HYPERLINK("https://klasma.github.io/Logging_1265/kartor/A 31678-2025 karta.png", "A 31678-2025")</f>
        <v/>
      </c>
      <c r="V21">
        <f>HYPERLINK("https://klasma.github.io/Logging_1265/klagomål/A 31678-2025 FSC-klagomål.docx", "A 31678-2025")</f>
        <v/>
      </c>
      <c r="W21">
        <f>HYPERLINK("https://klasma.github.io/Logging_1265/klagomålsmail/A 31678-2025 FSC-klagomål mail.docx", "A 31678-2025")</f>
        <v/>
      </c>
      <c r="X21">
        <f>HYPERLINK("https://klasma.github.io/Logging_1265/tillsyn/A 31678-2025 tillsynsbegäran.docx", "A 31678-2025")</f>
        <v/>
      </c>
      <c r="Y21">
        <f>HYPERLINK("https://klasma.github.io/Logging_1265/tillsynsmail/A 31678-2025 tillsynsbegäran mail.docx", "A 31678-2025")</f>
        <v/>
      </c>
    </row>
    <row r="22" ht="15" customHeight="1">
      <c r="A22" t="inlineStr">
        <is>
          <t>A 35258-2024</t>
        </is>
      </c>
      <c r="B22" s="1" t="n">
        <v>45530</v>
      </c>
      <c r="C22" s="1" t="n">
        <v>46194</v>
      </c>
      <c r="D22" t="inlineStr">
        <is>
          <t>SKÅNE LÄN</t>
        </is>
      </c>
      <c r="E22" t="inlineStr">
        <is>
          <t>SJÖBO</t>
        </is>
      </c>
      <c r="G22" t="n">
        <v>16.6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HYPERLINK("https://klasma.github.io/Logging_1265/artfynd/A 35258-2024 artfynd.xlsx", "A 35258-2024")</f>
        <v/>
      </c>
      <c r="T22">
        <f>HYPERLINK("https://klasma.github.io/Logging_1265/kartor/A 35258-2024 karta.png", "A 35258-2024")</f>
        <v/>
      </c>
      <c r="V22">
        <f>HYPERLINK("https://klasma.github.io/Logging_1265/klagomål/A 35258-2024 FSC-klagomål.docx", "A 35258-2024")</f>
        <v/>
      </c>
      <c r="W22">
        <f>HYPERLINK("https://klasma.github.io/Logging_1265/klagomålsmail/A 35258-2024 FSC-klagomål mail.docx", "A 35258-2024")</f>
        <v/>
      </c>
      <c r="X22">
        <f>HYPERLINK("https://klasma.github.io/Logging_1265/tillsyn/A 35258-2024 tillsynsbegäran.docx", "A 35258-2024")</f>
        <v/>
      </c>
      <c r="Y22">
        <f>HYPERLINK("https://klasma.github.io/Logging_1265/tillsynsmail/A 35258-2024 tillsynsbegäran mail.docx", "A 35258-2024")</f>
        <v/>
      </c>
    </row>
    <row r="23" ht="15" customHeight="1">
      <c r="A23" t="inlineStr">
        <is>
          <t>A 35454-2025</t>
        </is>
      </c>
      <c r="B23" s="1" t="n">
        <v>45855</v>
      </c>
      <c r="C23" s="1" t="n">
        <v>46194</v>
      </c>
      <c r="D23" t="inlineStr">
        <is>
          <t>SKÅNE LÄN</t>
        </is>
      </c>
      <c r="E23" t="inlineStr">
        <is>
          <t>SJÖBO</t>
        </is>
      </c>
      <c r="G23" t="n">
        <v>2.3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HYPERLINK("https://klasma.github.io/Logging_1265/artfynd/A 35454-2025 artfynd.xlsx", "A 35454-2025")</f>
        <v/>
      </c>
      <c r="T23">
        <f>HYPERLINK("https://klasma.github.io/Logging_1265/kartor/A 35454-2025 karta.png", "A 35454-2025")</f>
        <v/>
      </c>
      <c r="V23">
        <f>HYPERLINK("https://klasma.github.io/Logging_1265/klagomål/A 35454-2025 FSC-klagomål.docx", "A 35454-2025")</f>
        <v/>
      </c>
      <c r="W23">
        <f>HYPERLINK("https://klasma.github.io/Logging_1265/klagomålsmail/A 35454-2025 FSC-klagomål mail.docx", "A 35454-2025")</f>
        <v/>
      </c>
      <c r="X23">
        <f>HYPERLINK("https://klasma.github.io/Logging_1265/tillsyn/A 35454-2025 tillsynsbegäran.docx", "A 35454-2025")</f>
        <v/>
      </c>
      <c r="Y23">
        <f>HYPERLINK("https://klasma.github.io/Logging_1265/tillsynsmail/A 35454-2025 tillsynsbegäran mail.docx", "A 35454-2025")</f>
        <v/>
      </c>
    </row>
    <row r="24" ht="15" customHeight="1">
      <c r="A24" t="inlineStr">
        <is>
          <t>A 36347-2025</t>
        </is>
      </c>
      <c r="B24" s="1" t="n">
        <v>45868</v>
      </c>
      <c r="C24" s="1" t="n">
        <v>46194</v>
      </c>
      <c r="D24" t="inlineStr">
        <is>
          <t>SKÅNE LÄN</t>
        </is>
      </c>
      <c r="E24" t="inlineStr">
        <is>
          <t>SJÖBO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Sydlig sotticka</t>
        </is>
      </c>
      <c r="S24">
        <f>HYPERLINK("https://klasma.github.io/Logging_1265/artfynd/A 36347-2025 artfynd.xlsx", "A 36347-2025")</f>
        <v/>
      </c>
      <c r="T24">
        <f>HYPERLINK("https://klasma.github.io/Logging_1265/kartor/A 36347-2025 karta.png", "A 36347-2025")</f>
        <v/>
      </c>
      <c r="V24">
        <f>HYPERLINK("https://klasma.github.io/Logging_1265/klagomål/A 36347-2025 FSC-klagomål.docx", "A 36347-2025")</f>
        <v/>
      </c>
      <c r="W24">
        <f>HYPERLINK("https://klasma.github.io/Logging_1265/klagomålsmail/A 36347-2025 FSC-klagomål mail.docx", "A 36347-2025")</f>
        <v/>
      </c>
      <c r="X24">
        <f>HYPERLINK("https://klasma.github.io/Logging_1265/tillsyn/A 36347-2025 tillsynsbegäran.docx", "A 36347-2025")</f>
        <v/>
      </c>
      <c r="Y24">
        <f>HYPERLINK("https://klasma.github.io/Logging_1265/tillsynsmail/A 36347-2025 tillsynsbegäran mail.docx", "A 36347-2025")</f>
        <v/>
      </c>
    </row>
    <row r="25" ht="15" customHeight="1">
      <c r="A25" t="inlineStr">
        <is>
          <t>A 71055-2021</t>
        </is>
      </c>
      <c r="B25" s="1" t="n">
        <v>44538</v>
      </c>
      <c r="C25" s="1" t="n">
        <v>46194</v>
      </c>
      <c r="D25" t="inlineStr">
        <is>
          <t>SKÅNE LÄN</t>
        </is>
      </c>
      <c r="E25" t="inlineStr">
        <is>
          <t>SJÖBO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HYPERLINK("https://klasma.github.io/Logging_1265/artfynd/A 71055-2021 artfynd.xlsx", "A 71055-2021")</f>
        <v/>
      </c>
      <c r="T25">
        <f>HYPERLINK("https://klasma.github.io/Logging_1265/kartor/A 71055-2021 karta.png", "A 71055-2021")</f>
        <v/>
      </c>
      <c r="V25">
        <f>HYPERLINK("https://klasma.github.io/Logging_1265/klagomål/A 71055-2021 FSC-klagomål.docx", "A 71055-2021")</f>
        <v/>
      </c>
      <c r="W25">
        <f>HYPERLINK("https://klasma.github.io/Logging_1265/klagomålsmail/A 71055-2021 FSC-klagomål mail.docx", "A 71055-2021")</f>
        <v/>
      </c>
      <c r="X25">
        <f>HYPERLINK("https://klasma.github.io/Logging_1265/tillsyn/A 71055-2021 tillsynsbegäran.docx", "A 71055-2021")</f>
        <v/>
      </c>
      <c r="Y25">
        <f>HYPERLINK("https://klasma.github.io/Logging_1265/tillsynsmail/A 71055-2021 tillsynsbegäran mail.docx", "A 71055-2021")</f>
        <v/>
      </c>
    </row>
    <row r="26" ht="15" customHeight="1">
      <c r="A26" t="inlineStr">
        <is>
          <t>A 45925-2023</t>
        </is>
      </c>
      <c r="B26" s="1" t="n">
        <v>45189</v>
      </c>
      <c r="C26" s="1" t="n">
        <v>46194</v>
      </c>
      <c r="D26" t="inlineStr">
        <is>
          <t>SKÅNE LÄN</t>
        </is>
      </c>
      <c r="E26" t="inlineStr">
        <is>
          <t>SJÖBO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HYPERLINK("https://klasma.github.io/Logging_1265/artfynd/A 45925-2023 artfynd.xlsx", "A 45925-2023")</f>
        <v/>
      </c>
      <c r="T26">
        <f>HYPERLINK("https://klasma.github.io/Logging_1265/kartor/A 45925-2023 karta.png", "A 45925-2023")</f>
        <v/>
      </c>
      <c r="V26">
        <f>HYPERLINK("https://klasma.github.io/Logging_1265/klagomål/A 45925-2023 FSC-klagomål.docx", "A 45925-2023")</f>
        <v/>
      </c>
      <c r="W26">
        <f>HYPERLINK("https://klasma.github.io/Logging_1265/klagomålsmail/A 45925-2023 FSC-klagomål mail.docx", "A 45925-2023")</f>
        <v/>
      </c>
      <c r="X26">
        <f>HYPERLINK("https://klasma.github.io/Logging_1265/tillsyn/A 45925-2023 tillsynsbegäran.docx", "A 45925-2023")</f>
        <v/>
      </c>
      <c r="Y26">
        <f>HYPERLINK("https://klasma.github.io/Logging_1265/tillsynsmail/A 45925-2023 tillsynsbegäran mail.docx", "A 45925-2023")</f>
        <v/>
      </c>
    </row>
    <row r="27" ht="15" customHeight="1">
      <c r="A27" t="inlineStr">
        <is>
          <t>A 59610-2023</t>
        </is>
      </c>
      <c r="B27" s="1" t="n">
        <v>45253</v>
      </c>
      <c r="C27" s="1" t="n">
        <v>46194</v>
      </c>
      <c r="D27" t="inlineStr">
        <is>
          <t>SKÅNE LÄN</t>
        </is>
      </c>
      <c r="E27" t="inlineStr">
        <is>
          <t>SJÖBO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HYPERLINK("https://klasma.github.io/Logging_1265/artfynd/A 59610-2023 artfynd.xlsx", "A 59610-2023")</f>
        <v/>
      </c>
      <c r="T27">
        <f>HYPERLINK("https://klasma.github.io/Logging_1265/kartor/A 59610-2023 karta.png", "A 59610-2023")</f>
        <v/>
      </c>
      <c r="V27">
        <f>HYPERLINK("https://klasma.github.io/Logging_1265/klagomål/A 59610-2023 FSC-klagomål.docx", "A 59610-2023")</f>
        <v/>
      </c>
      <c r="W27">
        <f>HYPERLINK("https://klasma.github.io/Logging_1265/klagomålsmail/A 59610-2023 FSC-klagomål mail.docx", "A 59610-2023")</f>
        <v/>
      </c>
      <c r="X27">
        <f>HYPERLINK("https://klasma.github.io/Logging_1265/tillsyn/A 59610-2023 tillsynsbegäran.docx", "A 59610-2023")</f>
        <v/>
      </c>
      <c r="Y27">
        <f>HYPERLINK("https://klasma.github.io/Logging_1265/tillsynsmail/A 59610-2023 tillsynsbegäran mail.docx", "A 59610-2023")</f>
        <v/>
      </c>
    </row>
    <row r="28" ht="15" customHeight="1">
      <c r="A28" t="inlineStr">
        <is>
          <t>A 27230-2024</t>
        </is>
      </c>
      <c r="B28" s="1" t="n">
        <v>45471</v>
      </c>
      <c r="C28" s="1" t="n">
        <v>46194</v>
      </c>
      <c r="D28" t="inlineStr">
        <is>
          <t>SKÅNE LÄN</t>
        </is>
      </c>
      <c r="E28" t="inlineStr">
        <is>
          <t>SJÖBO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HYPERLINK("https://klasma.github.io/Logging_1265/artfynd/A 27230-2024 artfynd.xlsx", "A 27230-2024")</f>
        <v/>
      </c>
      <c r="T28">
        <f>HYPERLINK("https://klasma.github.io/Logging_1265/kartor/A 27230-2024 karta.png", "A 27230-2024")</f>
        <v/>
      </c>
      <c r="V28">
        <f>HYPERLINK("https://klasma.github.io/Logging_1265/klagomål/A 27230-2024 FSC-klagomål.docx", "A 27230-2024")</f>
        <v/>
      </c>
      <c r="W28">
        <f>HYPERLINK("https://klasma.github.io/Logging_1265/klagomålsmail/A 27230-2024 FSC-klagomål mail.docx", "A 27230-2024")</f>
        <v/>
      </c>
      <c r="X28">
        <f>HYPERLINK("https://klasma.github.io/Logging_1265/tillsyn/A 27230-2024 tillsynsbegäran.docx", "A 27230-2024")</f>
        <v/>
      </c>
      <c r="Y28">
        <f>HYPERLINK("https://klasma.github.io/Logging_1265/tillsynsmail/A 27230-2024 tillsynsbegäran mail.docx", "A 27230-2024")</f>
        <v/>
      </c>
      <c r="Z28">
        <f>HYPERLINK("https://klasma.github.io/Logging_1265/fåglar/A 27230-2024 prioriterade fågelarter.docx", "A 27230-2024")</f>
        <v/>
      </c>
    </row>
    <row r="29" ht="15" customHeight="1">
      <c r="A29" t="inlineStr">
        <is>
          <t>A 3765-2026</t>
        </is>
      </c>
      <c r="B29" s="1" t="n">
        <v>46043</v>
      </c>
      <c r="C29" s="1" t="n">
        <v>46194</v>
      </c>
      <c r="D29" t="inlineStr">
        <is>
          <t>SKÅNE LÄN</t>
        </is>
      </c>
      <c r="E29" t="inlineStr">
        <is>
          <t>SJÖBO</t>
        </is>
      </c>
      <c r="G29" t="n">
        <v>5.6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Fläcklungört</t>
        </is>
      </c>
      <c r="S29">
        <f>HYPERLINK("https://klasma.github.io/Logging_1265/artfynd/A 3765-2026 artfynd.xlsx", "A 3765-2026")</f>
        <v/>
      </c>
      <c r="T29">
        <f>HYPERLINK("https://klasma.github.io/Logging_1265/kartor/A 3765-2026 karta.png", "A 3765-2026")</f>
        <v/>
      </c>
      <c r="V29">
        <f>HYPERLINK("https://klasma.github.io/Logging_1265/klagomål/A 3765-2026 FSC-klagomål.docx", "A 3765-2026")</f>
        <v/>
      </c>
      <c r="W29">
        <f>HYPERLINK("https://klasma.github.io/Logging_1265/klagomålsmail/A 3765-2026 FSC-klagomål mail.docx", "A 3765-2026")</f>
        <v/>
      </c>
      <c r="X29">
        <f>HYPERLINK("https://klasma.github.io/Logging_1265/tillsyn/A 3765-2026 tillsynsbegäran.docx", "A 3765-2026")</f>
        <v/>
      </c>
      <c r="Y29">
        <f>HYPERLINK("https://klasma.github.io/Logging_1265/tillsynsmail/A 3765-2026 tillsynsbegäran mail.docx", "A 3765-2026")</f>
        <v/>
      </c>
    </row>
    <row r="30" ht="15" customHeight="1">
      <c r="A30" t="inlineStr">
        <is>
          <t>A 24421-2026</t>
        </is>
      </c>
      <c r="B30" s="1" t="n">
        <v>46169</v>
      </c>
      <c r="C30" s="1" t="n">
        <v>46194</v>
      </c>
      <c r="D30" t="inlineStr">
        <is>
          <t>SKÅNE LÄN</t>
        </is>
      </c>
      <c r="E30" t="inlineStr">
        <is>
          <t>SJÖBO</t>
        </is>
      </c>
      <c r="G30" t="n">
        <v>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Skogskorn</t>
        </is>
      </c>
      <c r="S30">
        <f>HYPERLINK("https://klasma.github.io/Logging_1265/artfynd/A 24421-2026 artfynd.xlsx", "A 24421-2026")</f>
        <v/>
      </c>
      <c r="T30">
        <f>HYPERLINK("https://klasma.github.io/Logging_1265/kartor/A 24421-2026 karta.png", "A 24421-2026")</f>
        <v/>
      </c>
      <c r="V30">
        <f>HYPERLINK("https://klasma.github.io/Logging_1265/klagomål/A 24421-2026 FSC-klagomål.docx", "A 24421-2026")</f>
        <v/>
      </c>
      <c r="W30">
        <f>HYPERLINK("https://klasma.github.io/Logging_1265/klagomålsmail/A 24421-2026 FSC-klagomål mail.docx", "A 24421-2026")</f>
        <v/>
      </c>
      <c r="X30">
        <f>HYPERLINK("https://klasma.github.io/Logging_1265/tillsyn/A 24421-2026 tillsynsbegäran.docx", "A 24421-2026")</f>
        <v/>
      </c>
      <c r="Y30">
        <f>HYPERLINK("https://klasma.github.io/Logging_1265/tillsynsmail/A 24421-2026 tillsynsbegäran mail.docx", "A 24421-2026")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46194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46194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46194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46194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46194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31675-2021</t>
        </is>
      </c>
      <c r="B36" s="1" t="n">
        <v>44369</v>
      </c>
      <c r="C36" s="1" t="n">
        <v>46194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46194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46194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46194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61031-2022</t>
        </is>
      </c>
      <c r="B40" s="1" t="n">
        <v>44914</v>
      </c>
      <c r="C40" s="1" t="n">
        <v>46194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47656-2023</t>
        </is>
      </c>
      <c r="B41" s="1" t="n">
        <v>45203</v>
      </c>
      <c r="C41" s="1" t="n">
        <v>46194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21424-2022</t>
        </is>
      </c>
      <c r="B42" s="1" t="n">
        <v>44706</v>
      </c>
      <c r="C42" s="1" t="n">
        <v>46194</v>
      </c>
      <c r="D42" t="inlineStr">
        <is>
          <t>SKÅNE LÄN</t>
        </is>
      </c>
      <c r="E42" t="inlineStr">
        <is>
          <t>SJÖBO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50463-2021</t>
        </is>
      </c>
      <c r="B43" s="1" t="n">
        <v>44455</v>
      </c>
      <c r="C43" s="1" t="n">
        <v>46194</v>
      </c>
      <c r="D43" t="inlineStr">
        <is>
          <t>SKÅNE LÄN</t>
        </is>
      </c>
      <c r="E43" t="inlineStr">
        <is>
          <t>SJÖBO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42660-2021</t>
        </is>
      </c>
      <c r="B44" s="1" t="n">
        <v>44428</v>
      </c>
      <c r="C44" s="1" t="n">
        <v>46194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13754-2023</t>
        </is>
      </c>
      <c r="B45" s="1" t="n">
        <v>45007</v>
      </c>
      <c r="C45" s="1" t="n">
        <v>46194</v>
      </c>
      <c r="D45" t="inlineStr">
        <is>
          <t>SKÅNE LÄN</t>
        </is>
      </c>
      <c r="E45" t="inlineStr">
        <is>
          <t>SJÖBO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44498-2021</t>
        </is>
      </c>
      <c r="B46" s="1" t="n">
        <v>44435</v>
      </c>
      <c r="C46" s="1" t="n">
        <v>46194</v>
      </c>
      <c r="D46" t="inlineStr">
        <is>
          <t>SKÅNE LÄN</t>
        </is>
      </c>
      <c r="E46" t="inlineStr">
        <is>
          <t>SJÖBO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2026-2022</t>
        </is>
      </c>
      <c r="B47" s="1" t="n">
        <v>44575</v>
      </c>
      <c r="C47" s="1" t="n">
        <v>46194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64905-2023</t>
        </is>
      </c>
      <c r="B48" s="1" t="n">
        <v>45282</v>
      </c>
      <c r="C48" s="1" t="n">
        <v>46194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32732-2022</t>
        </is>
      </c>
      <c r="B49" s="1" t="n">
        <v>44783</v>
      </c>
      <c r="C49" s="1" t="n">
        <v>46194</v>
      </c>
      <c r="D49" t="inlineStr">
        <is>
          <t>SKÅNE LÄN</t>
        </is>
      </c>
      <c r="E49" t="inlineStr">
        <is>
          <t>SJÖBO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8858-2025</t>
        </is>
      </c>
      <c r="B50" s="1" t="n">
        <v>45713</v>
      </c>
      <c r="C50" s="1" t="n">
        <v>46194</v>
      </c>
      <c r="D50" t="inlineStr">
        <is>
          <t>SKÅNE LÄN</t>
        </is>
      </c>
      <c r="E50" t="inlineStr">
        <is>
          <t>SJÖBO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16429-2023</t>
        </is>
      </c>
      <c r="B51" s="1" t="n">
        <v>45029</v>
      </c>
      <c r="C51" s="1" t="n">
        <v>46194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28919-2023</t>
        </is>
      </c>
      <c r="B52" s="1" t="n">
        <v>45104</v>
      </c>
      <c r="C52" s="1" t="n">
        <v>46194</v>
      </c>
      <c r="D52" t="inlineStr">
        <is>
          <t>SKÅNE LÄN</t>
        </is>
      </c>
      <c r="E52" t="inlineStr">
        <is>
          <t>SJÖBO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6229-2022</t>
        </is>
      </c>
      <c r="B53" s="1" t="n">
        <v>44600</v>
      </c>
      <c r="C53" s="1" t="n">
        <v>46194</v>
      </c>
      <c r="D53" t="inlineStr">
        <is>
          <t>SKÅNE LÄN</t>
        </is>
      </c>
      <c r="E53" t="inlineStr">
        <is>
          <t>SJÖBO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49298-2023</t>
        </is>
      </c>
      <c r="B54" s="1" t="n">
        <v>45210</v>
      </c>
      <c r="C54" s="1" t="n">
        <v>46194</v>
      </c>
      <c r="D54" t="inlineStr">
        <is>
          <t>SKÅNE LÄN</t>
        </is>
      </c>
      <c r="E54" t="inlineStr">
        <is>
          <t>SJÖBO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1098-2025</t>
        </is>
      </c>
      <c r="B55" s="1" t="n">
        <v>45666</v>
      </c>
      <c r="C55" s="1" t="n">
        <v>46194</v>
      </c>
      <c r="D55" t="inlineStr">
        <is>
          <t>SKÅNE LÄN</t>
        </is>
      </c>
      <c r="E55" t="inlineStr">
        <is>
          <t>SJÖBO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11500-2024</t>
        </is>
      </c>
      <c r="B56" s="1" t="n">
        <v>45372</v>
      </c>
      <c r="C56" s="1" t="n">
        <v>46194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36414-2023</t>
        </is>
      </c>
      <c r="B57" s="1" t="n">
        <v>45152</v>
      </c>
      <c r="C57" s="1" t="n">
        <v>46194</v>
      </c>
      <c r="D57" t="inlineStr">
        <is>
          <t>SKÅNE LÄN</t>
        </is>
      </c>
      <c r="E57" t="inlineStr">
        <is>
          <t>SJÖBO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39407-2023</t>
        </is>
      </c>
      <c r="B58" s="1" t="n">
        <v>45163</v>
      </c>
      <c r="C58" s="1" t="n">
        <v>46194</v>
      </c>
      <c r="D58" t="inlineStr">
        <is>
          <t>SKÅNE LÄN</t>
        </is>
      </c>
      <c r="E58" t="inlineStr">
        <is>
          <t>SJÖBO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45348-2024</t>
        </is>
      </c>
      <c r="B59" s="1" t="n">
        <v>45576</v>
      </c>
      <c r="C59" s="1" t="n">
        <v>46194</v>
      </c>
      <c r="D59" t="inlineStr">
        <is>
          <t>SKÅNE LÄN</t>
        </is>
      </c>
      <c r="E59" t="inlineStr">
        <is>
          <t>SJÖBO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48026-2021</t>
        </is>
      </c>
      <c r="B60" s="1" t="n">
        <v>44449</v>
      </c>
      <c r="C60" s="1" t="n">
        <v>46194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19883-2024</t>
        </is>
      </c>
      <c r="B61" s="1" t="n">
        <v>45433</v>
      </c>
      <c r="C61" s="1" t="n">
        <v>46194</v>
      </c>
      <c r="D61" t="inlineStr">
        <is>
          <t>SKÅNE LÄN</t>
        </is>
      </c>
      <c r="E61" t="inlineStr">
        <is>
          <t>SJÖBO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19888-2024</t>
        </is>
      </c>
      <c r="B62" s="1" t="n">
        <v>45433</v>
      </c>
      <c r="C62" s="1" t="n">
        <v>46194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22406-2022</t>
        </is>
      </c>
      <c r="B63" s="1" t="n">
        <v>44713</v>
      </c>
      <c r="C63" s="1" t="n">
        <v>46194</v>
      </c>
      <c r="D63" t="inlineStr">
        <is>
          <t>SKÅNE LÄN</t>
        </is>
      </c>
      <c r="E63" t="inlineStr">
        <is>
          <t>SJÖBO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61875-2023</t>
        </is>
      </c>
      <c r="B64" s="1" t="n">
        <v>45265</v>
      </c>
      <c r="C64" s="1" t="n">
        <v>46194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60778-2023</t>
        </is>
      </c>
      <c r="B65" s="1" t="n">
        <v>45260</v>
      </c>
      <c r="C65" s="1" t="n">
        <v>46194</v>
      </c>
      <c r="D65" t="inlineStr">
        <is>
          <t>SKÅNE LÄN</t>
        </is>
      </c>
      <c r="E65" t="inlineStr">
        <is>
          <t>SJÖBO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19880-2024</t>
        </is>
      </c>
      <c r="B66" s="1" t="n">
        <v>45433</v>
      </c>
      <c r="C66" s="1" t="n">
        <v>46194</v>
      </c>
      <c r="D66" t="inlineStr">
        <is>
          <t>SKÅNE LÄN</t>
        </is>
      </c>
      <c r="E66" t="inlineStr">
        <is>
          <t>SJÖBO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45981-2023</t>
        </is>
      </c>
      <c r="B67" s="1" t="n">
        <v>45189</v>
      </c>
      <c r="C67" s="1" t="n">
        <v>46194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29816-2025</t>
        </is>
      </c>
      <c r="B68" s="1" t="n">
        <v>45825</v>
      </c>
      <c r="C68" s="1" t="n">
        <v>46194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1235-2022</t>
        </is>
      </c>
      <c r="B69" s="1" t="n">
        <v>44572</v>
      </c>
      <c r="C69" s="1" t="n">
        <v>46194</v>
      </c>
      <c r="D69" t="inlineStr">
        <is>
          <t>SKÅNE LÄN</t>
        </is>
      </c>
      <c r="E69" t="inlineStr">
        <is>
          <t>SJÖBO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19877-2024</t>
        </is>
      </c>
      <c r="B70" s="1" t="n">
        <v>45433</v>
      </c>
      <c r="C70" s="1" t="n">
        <v>46194</v>
      </c>
      <c r="D70" t="inlineStr">
        <is>
          <t>SKÅNE LÄN</t>
        </is>
      </c>
      <c r="E70" t="inlineStr">
        <is>
          <t>SJÖBO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8568-2023</t>
        </is>
      </c>
      <c r="B71" s="1" t="n">
        <v>44977</v>
      </c>
      <c r="C71" s="1" t="n">
        <v>46194</v>
      </c>
      <c r="D71" t="inlineStr">
        <is>
          <t>SKÅNE LÄN</t>
        </is>
      </c>
      <c r="E71" t="inlineStr">
        <is>
          <t>SJÖBO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1031-2025</t>
        </is>
      </c>
      <c r="B72" s="1" t="n">
        <v>45666</v>
      </c>
      <c r="C72" s="1" t="n">
        <v>46194</v>
      </c>
      <c r="D72" t="inlineStr">
        <is>
          <t>SKÅNE LÄN</t>
        </is>
      </c>
      <c r="E72" t="inlineStr">
        <is>
          <t>SJÖBO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16373-2024</t>
        </is>
      </c>
      <c r="B73" s="1" t="n">
        <v>45407</v>
      </c>
      <c r="C73" s="1" t="n">
        <v>46194</v>
      </c>
      <c r="D73" t="inlineStr">
        <is>
          <t>SKÅNE LÄN</t>
        </is>
      </c>
      <c r="E73" t="inlineStr">
        <is>
          <t>SJÖBO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14747-2023</t>
        </is>
      </c>
      <c r="B74" s="1" t="n">
        <v>45014</v>
      </c>
      <c r="C74" s="1" t="n">
        <v>46194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8862-2025</t>
        </is>
      </c>
      <c r="B75" s="1" t="n">
        <v>45713</v>
      </c>
      <c r="C75" s="1" t="n">
        <v>46194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54959-2022</t>
        </is>
      </c>
      <c r="B76" s="1" t="n">
        <v>44886</v>
      </c>
      <c r="C76" s="1" t="n">
        <v>46194</v>
      </c>
      <c r="D76" t="inlineStr">
        <is>
          <t>SKÅNE LÄN</t>
        </is>
      </c>
      <c r="E76" t="inlineStr">
        <is>
          <t>SJÖBO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3258-2023</t>
        </is>
      </c>
      <c r="B77" s="1" t="n">
        <v>44948</v>
      </c>
      <c r="C77" s="1" t="n">
        <v>46194</v>
      </c>
      <c r="D77" t="inlineStr">
        <is>
          <t>SKÅNE LÄN</t>
        </is>
      </c>
      <c r="E77" t="inlineStr">
        <is>
          <t>SJÖBO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22330-2024</t>
        </is>
      </c>
      <c r="B78" s="1" t="n">
        <v>45446</v>
      </c>
      <c r="C78" s="1" t="n">
        <v>46194</v>
      </c>
      <c r="D78" t="inlineStr">
        <is>
          <t>SKÅNE LÄN</t>
        </is>
      </c>
      <c r="E78" t="inlineStr">
        <is>
          <t>SJÖBO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42599-2025</t>
        </is>
      </c>
      <c r="B79" s="1" t="n">
        <v>45905</v>
      </c>
      <c r="C79" s="1" t="n">
        <v>46194</v>
      </c>
      <c r="D79" t="inlineStr">
        <is>
          <t>SKÅNE LÄN</t>
        </is>
      </c>
      <c r="E79" t="inlineStr">
        <is>
          <t>SJÖBO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2449-2023</t>
        </is>
      </c>
      <c r="B80" s="1" t="n">
        <v>44943</v>
      </c>
      <c r="C80" s="1" t="n">
        <v>46194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43000-2025</t>
        </is>
      </c>
      <c r="B81" s="1" t="n">
        <v>45909</v>
      </c>
      <c r="C81" s="1" t="n">
        <v>46194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26730-2023</t>
        </is>
      </c>
      <c r="B82" s="1" t="n">
        <v>45090</v>
      </c>
      <c r="C82" s="1" t="n">
        <v>46194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1846-2025</t>
        </is>
      </c>
      <c r="B83" s="1" t="n">
        <v>45671</v>
      </c>
      <c r="C83" s="1" t="n">
        <v>46194</v>
      </c>
      <c r="D83" t="inlineStr">
        <is>
          <t>SKÅNE LÄN</t>
        </is>
      </c>
      <c r="E83" t="inlineStr">
        <is>
          <t>SJÖBO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52959-2024</t>
        </is>
      </c>
      <c r="B84" s="1" t="n">
        <v>45611</v>
      </c>
      <c r="C84" s="1" t="n">
        <v>46194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21973-2025</t>
        </is>
      </c>
      <c r="B85" s="1" t="n">
        <v>45784</v>
      </c>
      <c r="C85" s="1" t="n">
        <v>46194</v>
      </c>
      <c r="D85" t="inlineStr">
        <is>
          <t>SKÅNE LÄN</t>
        </is>
      </c>
      <c r="E85" t="inlineStr">
        <is>
          <t>SJÖBO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56137-2021</t>
        </is>
      </c>
      <c r="B86" s="1" t="n">
        <v>44477</v>
      </c>
      <c r="C86" s="1" t="n">
        <v>46194</v>
      </c>
      <c r="D86" t="inlineStr">
        <is>
          <t>SKÅNE LÄN</t>
        </is>
      </c>
      <c r="E86" t="inlineStr">
        <is>
          <t>SJÖBO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46194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1858-2025</t>
        </is>
      </c>
      <c r="B88" s="1" t="n">
        <v>45671</v>
      </c>
      <c r="C88" s="1" t="n">
        <v>46194</v>
      </c>
      <c r="D88" t="inlineStr">
        <is>
          <t>SKÅNE LÄN</t>
        </is>
      </c>
      <c r="E88" t="inlineStr">
        <is>
          <t>SJÖBO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46194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8861-2025</t>
        </is>
      </c>
      <c r="B90" s="1" t="n">
        <v>45713</v>
      </c>
      <c r="C90" s="1" t="n">
        <v>46194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45353-2024</t>
        </is>
      </c>
      <c r="B91" s="1" t="n">
        <v>45576</v>
      </c>
      <c r="C91" s="1" t="n">
        <v>46194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46194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49897-2025</t>
        </is>
      </c>
      <c r="B93" s="1" t="n">
        <v>45940</v>
      </c>
      <c r="C93" s="1" t="n">
        <v>46194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50815-2025</t>
        </is>
      </c>
      <c r="B94" s="1" t="n">
        <v>45946</v>
      </c>
      <c r="C94" s="1" t="n">
        <v>46194</v>
      </c>
      <c r="D94" t="inlineStr">
        <is>
          <t>SKÅNE LÄN</t>
        </is>
      </c>
      <c r="E94" t="inlineStr">
        <is>
          <t>SJÖBO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44893-2024</t>
        </is>
      </c>
      <c r="B95" s="1" t="n">
        <v>45575</v>
      </c>
      <c r="C95" s="1" t="n">
        <v>46194</v>
      </c>
      <c r="D95" t="inlineStr">
        <is>
          <t>SKÅNE LÄN</t>
        </is>
      </c>
      <c r="E95" t="inlineStr">
        <is>
          <t>SJÖBO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60947-2024</t>
        </is>
      </c>
      <c r="B96" s="1" t="n">
        <v>45645</v>
      </c>
      <c r="C96" s="1" t="n">
        <v>46194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26781-2026</t>
        </is>
      </c>
      <c r="B97" s="1" t="n">
        <v>46184</v>
      </c>
      <c r="C97" s="1" t="n">
        <v>46194</v>
      </c>
      <c r="D97" t="inlineStr">
        <is>
          <t>SKÅNE LÄN</t>
        </is>
      </c>
      <c r="E97" t="inlineStr">
        <is>
          <t>SJÖBO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8859-2025</t>
        </is>
      </c>
      <c r="B98" s="1" t="n">
        <v>45713</v>
      </c>
      <c r="C98" s="1" t="n">
        <v>46194</v>
      </c>
      <c r="D98" t="inlineStr">
        <is>
          <t>SKÅNE LÄN</t>
        </is>
      </c>
      <c r="E98" t="inlineStr">
        <is>
          <t>SJÖBO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7059-2025</t>
        </is>
      </c>
      <c r="B99" s="1" t="n">
        <v>45701</v>
      </c>
      <c r="C99" s="1" t="n">
        <v>46194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24830-2025</t>
        </is>
      </c>
      <c r="B100" s="1" t="n">
        <v>45799</v>
      </c>
      <c r="C100" s="1" t="n">
        <v>46194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46194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29821-2025</t>
        </is>
      </c>
      <c r="B102" s="1" t="n">
        <v>45825</v>
      </c>
      <c r="C102" s="1" t="n">
        <v>46194</v>
      </c>
      <c r="D102" t="inlineStr">
        <is>
          <t>SKÅNE LÄN</t>
        </is>
      </c>
      <c r="E102" t="inlineStr">
        <is>
          <t>SJÖBO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28923-2023</t>
        </is>
      </c>
      <c r="B103" s="1" t="n">
        <v>45104</v>
      </c>
      <c r="C103" s="1" t="n">
        <v>46194</v>
      </c>
      <c r="D103" t="inlineStr">
        <is>
          <t>SKÅNE LÄN</t>
        </is>
      </c>
      <c r="E103" t="inlineStr">
        <is>
          <t>SJÖBO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30453-2025</t>
        </is>
      </c>
      <c r="B104" s="1" t="n">
        <v>45827</v>
      </c>
      <c r="C104" s="1" t="n">
        <v>46194</v>
      </c>
      <c r="D104" t="inlineStr">
        <is>
          <t>SKÅNE LÄN</t>
        </is>
      </c>
      <c r="E104" t="inlineStr">
        <is>
          <t>SJÖBO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30343-2025</t>
        </is>
      </c>
      <c r="B105" s="1" t="n">
        <v>45827</v>
      </c>
      <c r="C105" s="1" t="n">
        <v>46194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16979-2025</t>
        </is>
      </c>
      <c r="B106" s="1" t="n">
        <v>45755</v>
      </c>
      <c r="C106" s="1" t="n">
        <v>46194</v>
      </c>
      <c r="D106" t="inlineStr">
        <is>
          <t>SKÅNE LÄN</t>
        </is>
      </c>
      <c r="E106" t="inlineStr">
        <is>
          <t>SJÖBO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34173-2025</t>
        </is>
      </c>
      <c r="B107" s="1" t="n">
        <v>45845</v>
      </c>
      <c r="C107" s="1" t="n">
        <v>46194</v>
      </c>
      <c r="D107" t="inlineStr">
        <is>
          <t>SKÅNE LÄN</t>
        </is>
      </c>
      <c r="E107" t="inlineStr">
        <is>
          <t>SJÖBO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1879-2025</t>
        </is>
      </c>
      <c r="B108" s="1" t="n">
        <v>45671</v>
      </c>
      <c r="C108" s="1" t="n">
        <v>46194</v>
      </c>
      <c r="D108" t="inlineStr">
        <is>
          <t>SKÅNE LÄN</t>
        </is>
      </c>
      <c r="E108" t="inlineStr">
        <is>
          <t>SJÖBO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34780-2025</t>
        </is>
      </c>
      <c r="B109" s="1" t="n">
        <v>45848</v>
      </c>
      <c r="C109" s="1" t="n">
        <v>46194</v>
      </c>
      <c r="D109" t="inlineStr">
        <is>
          <t>SKÅNE LÄN</t>
        </is>
      </c>
      <c r="E109" t="inlineStr">
        <is>
          <t>SJÖBO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31403-2023</t>
        </is>
      </c>
      <c r="B110" s="1" t="n">
        <v>45114</v>
      </c>
      <c r="C110" s="1" t="n">
        <v>46194</v>
      </c>
      <c r="D110" t="inlineStr">
        <is>
          <t>SKÅNE LÄN</t>
        </is>
      </c>
      <c r="E110" t="inlineStr">
        <is>
          <t>SJÖBO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60900-2025</t>
        </is>
      </c>
      <c r="B111" s="1" t="n">
        <v>45999</v>
      </c>
      <c r="C111" s="1" t="n">
        <v>46194</v>
      </c>
      <c r="D111" t="inlineStr">
        <is>
          <t>SKÅNE LÄN</t>
        </is>
      </c>
      <c r="E111" t="inlineStr">
        <is>
          <t>SJÖBO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61431-2025</t>
        </is>
      </c>
      <c r="B112" s="1" t="n">
        <v>46001</v>
      </c>
      <c r="C112" s="1" t="n">
        <v>46194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21479-2026</t>
        </is>
      </c>
      <c r="B113" s="1" t="n">
        <v>46148</v>
      </c>
      <c r="C113" s="1" t="n">
        <v>46194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5444-2025</t>
        </is>
      </c>
      <c r="B114" s="1" t="n">
        <v>45692</v>
      </c>
      <c r="C114" s="1" t="n">
        <v>46194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15856-2022</t>
        </is>
      </c>
      <c r="B115" s="1" t="n">
        <v>44664</v>
      </c>
      <c r="C115" s="1" t="n">
        <v>46194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16346-2024</t>
        </is>
      </c>
      <c r="B116" s="1" t="n">
        <v>45407</v>
      </c>
      <c r="C116" s="1" t="n">
        <v>46194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746-2026</t>
        </is>
      </c>
      <c r="B117" s="1" t="n">
        <v>46029</v>
      </c>
      <c r="C117" s="1" t="n">
        <v>46194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749-2026</t>
        </is>
      </c>
      <c r="B118" s="1" t="n">
        <v>46029</v>
      </c>
      <c r="C118" s="1" t="n">
        <v>46194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34776-2023</t>
        </is>
      </c>
      <c r="B119" s="1" t="n">
        <v>45140</v>
      </c>
      <c r="C119" s="1" t="n">
        <v>46194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10454-2022</t>
        </is>
      </c>
      <c r="B120" s="1" t="n">
        <v>44623</v>
      </c>
      <c r="C120" s="1" t="n">
        <v>46194</v>
      </c>
      <c r="D120" t="inlineStr">
        <is>
          <t>SKÅNE LÄN</t>
        </is>
      </c>
      <c r="E120" t="inlineStr">
        <is>
          <t>SJÖBO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19884-2024</t>
        </is>
      </c>
      <c r="B121" s="1" t="n">
        <v>45433</v>
      </c>
      <c r="C121" s="1" t="n">
        <v>46194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22425-2024</t>
        </is>
      </c>
      <c r="B122" s="1" t="n">
        <v>45446</v>
      </c>
      <c r="C122" s="1" t="n">
        <v>46194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43745-2023</t>
        </is>
      </c>
      <c r="B123" s="1" t="n">
        <v>45187</v>
      </c>
      <c r="C123" s="1" t="n">
        <v>46194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3643-2026</t>
        </is>
      </c>
      <c r="B124" s="1" t="n">
        <v>46043</v>
      </c>
      <c r="C124" s="1" t="n">
        <v>46194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60371-2023</t>
        </is>
      </c>
      <c r="B125" s="1" t="n">
        <v>45259</v>
      </c>
      <c r="C125" s="1" t="n">
        <v>46194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46194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5197-2026</t>
        </is>
      </c>
      <c r="B127" s="1" t="n">
        <v>46049</v>
      </c>
      <c r="C127" s="1" t="n">
        <v>46194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5404-2026</t>
        </is>
      </c>
      <c r="B128" s="1" t="n">
        <v>46049</v>
      </c>
      <c r="C128" s="1" t="n">
        <v>46194</v>
      </c>
      <c r="D128" t="inlineStr">
        <is>
          <t>SKÅNE LÄN</t>
        </is>
      </c>
      <c r="E128" t="inlineStr">
        <is>
          <t>SJÖBO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46194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54711-2023</t>
        </is>
      </c>
      <c r="B130" s="1" t="n">
        <v>45236</v>
      </c>
      <c r="C130" s="1" t="n">
        <v>46194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7474-2026</t>
        </is>
      </c>
      <c r="B131" s="1" t="n">
        <v>46059</v>
      </c>
      <c r="C131" s="1" t="n">
        <v>46194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27237-2024</t>
        </is>
      </c>
      <c r="B132" s="1" t="n">
        <v>45471</v>
      </c>
      <c r="C132" s="1" t="n">
        <v>46194</v>
      </c>
      <c r="D132" t="inlineStr">
        <is>
          <t>SKÅNE LÄN</t>
        </is>
      </c>
      <c r="E132" t="inlineStr">
        <is>
          <t>SJÖBO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4663-2026</t>
        </is>
      </c>
      <c r="B133" s="1" t="n">
        <v>46048</v>
      </c>
      <c r="C133" s="1" t="n">
        <v>46194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62798-2025</t>
        </is>
      </c>
      <c r="B134" s="1" t="n">
        <v>46008</v>
      </c>
      <c r="C134" s="1" t="n">
        <v>46194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62807-2025</t>
        </is>
      </c>
      <c r="B135" s="1" t="n">
        <v>46008</v>
      </c>
      <c r="C135" s="1" t="n">
        <v>46194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39414-2023</t>
        </is>
      </c>
      <c r="B136" s="1" t="n">
        <v>45163</v>
      </c>
      <c r="C136" s="1" t="n">
        <v>46194</v>
      </c>
      <c r="D136" t="inlineStr">
        <is>
          <t>SKÅNE LÄN</t>
        </is>
      </c>
      <c r="E136" t="inlineStr">
        <is>
          <t>SJÖBO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12965-2024</t>
        </is>
      </c>
      <c r="B137" s="1" t="n">
        <v>45385</v>
      </c>
      <c r="C137" s="1" t="n">
        <v>46194</v>
      </c>
      <c r="D137" t="inlineStr">
        <is>
          <t>SKÅNE LÄN</t>
        </is>
      </c>
      <c r="E137" t="inlineStr">
        <is>
          <t>SJÖBO</t>
        </is>
      </c>
      <c r="F137" t="inlineStr">
        <is>
          <t>Övriga Aktiebolag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14573-2026</t>
        </is>
      </c>
      <c r="B138" s="1" t="n">
        <v>46101</v>
      </c>
      <c r="C138" s="1" t="n">
        <v>46194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14572-2026</t>
        </is>
      </c>
      <c r="B139" s="1" t="n">
        <v>46101</v>
      </c>
      <c r="C139" s="1" t="n">
        <v>46194</v>
      </c>
      <c r="D139" t="inlineStr">
        <is>
          <t>SKÅNE LÄN</t>
        </is>
      </c>
      <c r="E139" t="inlineStr">
        <is>
          <t>SJÖBO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24833-2025</t>
        </is>
      </c>
      <c r="B140" s="1" t="n">
        <v>45799</v>
      </c>
      <c r="C140" s="1" t="n">
        <v>46194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2026-06-21T00:43:40Z</dcterms:created>
  <dcterms:modified xmlns:dcterms="http://purl.org/dc/terms/" xmlns:xsi="http://www.w3.org/2001/XMLSchema-instance" xsi:type="dcterms:W3CDTF">2026-06-21T00:43:40Z</dcterms:modified>
</cp:coreProperties>
</file>