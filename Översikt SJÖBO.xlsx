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46297</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46297</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46297</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46297</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46297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46297</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46297</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46297</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46297</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46297</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46297</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46297</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47943-2023</t>
        </is>
      </c>
      <c r="B23" t="inlineStr">
        <is>
          <t>avverkningsanmälan</t>
        </is>
      </c>
      <c r="C23" t="inlineStr">
        <is>
          <t>Föryngringsavverkning</t>
        </is>
      </c>
      <c r="D23" s="1" t="n">
        <v>45204</v>
      </c>
      <c r="E23" s="1" t="n">
        <v>46297</v>
      </c>
      <c r="F23" t="inlineStr">
        <is>
          <t>SKÅNE LÄN</t>
        </is>
      </c>
      <c r="G23" t="inlineStr">
        <is>
          <t>SJÖBO</t>
        </is>
      </c>
      <c r="I23" t="n">
        <v>6.1</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47943-2023 artfynd.xlsx", "A 47943-2023")</f>
        <v/>
      </c>
      <c r="X23">
        <f>HYPERLINK("https://klasma.github.io/Logging_1265/kartor/A 47943-2023 karta.png", "A 47943-2023")</f>
        <v/>
      </c>
      <c r="Y23">
        <f>HYPERLINK("https://klasma.github.io/Logging_1265/kartor_geotiff/A 47943-2023 georefererad karta.tif", "A 47943-2023")</f>
        <v/>
      </c>
      <c r="AA23">
        <f>HYPERLINK("https://klasma.github.io/Logging_1265/klagomål/A 47943-2023 FSC-klagomål.docx", "A 47943-2023")</f>
        <v/>
      </c>
      <c r="AB23">
        <f>HYPERLINK("https://klasma.github.io/Logging_1265/klagomålsmail/A 47943-2023 FSC-klagomål mail.docx", "A 47943-2023")</f>
        <v/>
      </c>
      <c r="AC23">
        <f>HYPERLINK("https://klasma.github.io/Logging_1265/tillsyn/A 47943-2023 tillsynsbegäran.docx", "A 47943-2023")</f>
        <v/>
      </c>
      <c r="AD23">
        <f>HYPERLINK("https://klasma.github.io/Logging_1265/tillsynsmail/A 47943-2023 tillsynsbegäran mail.docx", "A 47943-2023")</f>
        <v/>
      </c>
    </row>
    <row r="24" ht="15" customHeight="1">
      <c r="A24" t="inlineStr">
        <is>
          <t>A 31678-2025</t>
        </is>
      </c>
      <c r="B24" t="inlineStr">
        <is>
          <t>avverkningsanmälan</t>
        </is>
      </c>
      <c r="C24" t="inlineStr">
        <is>
          <t>Föryngringsavverkning</t>
        </is>
      </c>
      <c r="D24" s="1" t="n">
        <v>45834</v>
      </c>
      <c r="E24" s="1" t="n">
        <v>46297</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46297</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46297</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71055-2021</t>
        </is>
      </c>
      <c r="B27" t="inlineStr">
        <is>
          <t>avverkningsanmälan</t>
        </is>
      </c>
      <c r="C27" t="inlineStr">
        <is>
          <t>Föryngringsavverkning</t>
        </is>
      </c>
      <c r="D27" s="1" t="n">
        <v>44538</v>
      </c>
      <c r="E27" s="1" t="n">
        <v>46297</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3765-2026</t>
        </is>
      </c>
      <c r="B28" t="inlineStr">
        <is>
          <t>avverkningsanmälan</t>
        </is>
      </c>
      <c r="C28" t="inlineStr">
        <is>
          <t>Föryngringsavverkning</t>
        </is>
      </c>
      <c r="D28" s="1" t="n">
        <v>46043</v>
      </c>
      <c r="E28" s="1" t="n">
        <v>46297</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45925-2023</t>
        </is>
      </c>
      <c r="B29" t="inlineStr">
        <is>
          <t>avverkningsanmälan</t>
        </is>
      </c>
      <c r="C29" t="inlineStr">
        <is>
          <t>Avverkning för annat ändamål</t>
        </is>
      </c>
      <c r="D29" s="1" t="n">
        <v>45189</v>
      </c>
      <c r="E29" s="1" t="n">
        <v>46297</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59610-2023</t>
        </is>
      </c>
      <c r="B30" t="inlineStr">
        <is>
          <t>avverkningsanmälan</t>
        </is>
      </c>
      <c r="C30" t="inlineStr">
        <is>
          <t>Föryngringsavverkning</t>
        </is>
      </c>
      <c r="D30" s="1" t="n">
        <v>45253</v>
      </c>
      <c r="E30" s="1" t="n">
        <v>46297</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27230-2024</t>
        </is>
      </c>
      <c r="B31" t="inlineStr">
        <is>
          <t>avverkningsanmälan</t>
        </is>
      </c>
      <c r="C31" t="inlineStr">
        <is>
          <t>Föryngringsavverkning</t>
        </is>
      </c>
      <c r="D31" s="1" t="n">
        <v>45471</v>
      </c>
      <c r="E31" s="1" t="n">
        <v>46297</v>
      </c>
      <c r="F31" t="inlineStr">
        <is>
          <t>SKÅNE LÄN</t>
        </is>
      </c>
      <c r="G31" t="inlineStr">
        <is>
          <t>SJÖBO</t>
        </is>
      </c>
      <c r="I31" t="n">
        <v>1.5</v>
      </c>
      <c r="J31" t="n">
        <v>1</v>
      </c>
      <c r="K31" t="n">
        <v>0</v>
      </c>
      <c r="L31" t="n">
        <v>0</v>
      </c>
      <c r="M31" t="n">
        <v>0</v>
      </c>
      <c r="N31" t="n">
        <v>0</v>
      </c>
      <c r="O31" t="n">
        <v>0</v>
      </c>
      <c r="P31" t="n">
        <v>0</v>
      </c>
      <c r="Q31" t="n">
        <v>0</v>
      </c>
      <c r="R31" t="n">
        <v>0</v>
      </c>
      <c r="S31" t="n">
        <v>1</v>
      </c>
      <c r="T31" t="n">
        <v>1</v>
      </c>
      <c r="U31" t="n">
        <v>0</v>
      </c>
      <c r="V31" s="2" t="inlineStr">
        <is>
          <t>Havsörn</t>
        </is>
      </c>
      <c r="W31">
        <f>HYPERLINK("https://klasma.github.io/Logging_1265/artfynd/A 27230-2024 artfynd.xlsx", "A 27230-2024")</f>
        <v/>
      </c>
      <c r="X31">
        <f>HYPERLINK("https://klasma.github.io/Logging_1265/kartor/A 27230-2024 karta.png", "A 27230-2024")</f>
        <v/>
      </c>
      <c r="Y31">
        <f>HYPERLINK("https://klasma.github.io/Logging_1265/kartor_geotiff/A 27230-2024 georefererad karta.tif", "A 27230-2024")</f>
        <v/>
      </c>
      <c r="AA31">
        <f>HYPERLINK("https://klasma.github.io/Logging_1265/klagomål/A 27230-2024 FSC-klagomål.docx", "A 27230-2024")</f>
        <v/>
      </c>
      <c r="AB31">
        <f>HYPERLINK("https://klasma.github.io/Logging_1265/klagomålsmail/A 27230-2024 FSC-klagomål mail.docx", "A 27230-2024")</f>
        <v/>
      </c>
      <c r="AC31">
        <f>HYPERLINK("https://klasma.github.io/Logging_1265/tillsyn/A 27230-2024 tillsynsbegäran.docx", "A 27230-2024")</f>
        <v/>
      </c>
      <c r="AD31">
        <f>HYPERLINK("https://klasma.github.io/Logging_1265/tillsynsmail/A 27230-2024 tillsynsbegäran mail.docx", "A 27230-2024")</f>
        <v/>
      </c>
      <c r="AE31">
        <f>HYPERLINK("https://klasma.github.io/Logging_1265/fåglar/A 27230-2024 prioriterade fågelarter.docx", "A 27230-2024")</f>
        <v/>
      </c>
    </row>
    <row r="32" ht="15" customHeight="1">
      <c r="A32" t="inlineStr">
        <is>
          <t>A 21425-2022</t>
        </is>
      </c>
      <c r="B32" t="inlineStr">
        <is>
          <t>avverkningsanmälan</t>
        </is>
      </c>
      <c r="C32" t="inlineStr">
        <is>
          <t>Föryngringsavverkning</t>
        </is>
      </c>
      <c r="D32" s="1" t="n">
        <v>44706</v>
      </c>
      <c r="E32" s="1" t="n">
        <v>46297</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24421-2026</t>
        </is>
      </c>
      <c r="B33" t="inlineStr">
        <is>
          <t>avverkningsanmälan</t>
        </is>
      </c>
      <c r="C33" t="inlineStr">
        <is>
          <t>Föryngringsavverkning</t>
        </is>
      </c>
      <c r="D33" s="1" t="n">
        <v>46169</v>
      </c>
      <c r="E33" s="1" t="n">
        <v>46297</v>
      </c>
      <c r="F33" t="inlineStr">
        <is>
          <t>SKÅNE LÄN</t>
        </is>
      </c>
      <c r="G33" t="inlineStr">
        <is>
          <t>SJÖBO</t>
        </is>
      </c>
      <c r="I33" t="n">
        <v>3</v>
      </c>
      <c r="J33" t="n">
        <v>0</v>
      </c>
      <c r="K33" t="n">
        <v>0</v>
      </c>
      <c r="L33" t="n">
        <v>0</v>
      </c>
      <c r="M33" t="n">
        <v>1</v>
      </c>
      <c r="N33" t="n">
        <v>0</v>
      </c>
      <c r="O33" t="n">
        <v>0</v>
      </c>
      <c r="P33" t="n">
        <v>0</v>
      </c>
      <c r="Q33" t="n">
        <v>1</v>
      </c>
      <c r="R33" t="n">
        <v>1</v>
      </c>
      <c r="S33" t="n">
        <v>1</v>
      </c>
      <c r="T33" t="n">
        <v>1</v>
      </c>
      <c r="U33" t="n">
        <v>0</v>
      </c>
      <c r="V33" s="2" t="inlineStr">
        <is>
          <t>Skogskorn</t>
        </is>
      </c>
      <c r="W33">
        <f>HYPERLINK("https://klasma.github.io/Logging_1265/artfynd/A 24421-2026 artfynd.xlsx", "A 24421-2026")</f>
        <v/>
      </c>
      <c r="X33">
        <f>HYPERLINK("https://klasma.github.io/Logging_1265/kartor/A 24421-2026 karta.png", "A 24421-2026")</f>
        <v/>
      </c>
      <c r="Y33">
        <f>HYPERLINK("https://klasma.github.io/Logging_1265/kartor_geotiff/A 24421-2026 georefererad karta.tif", "A 24421-2026")</f>
        <v/>
      </c>
      <c r="AA33">
        <f>HYPERLINK("https://klasma.github.io/Logging_1265/klagomål/A 24421-2026 FSC-klagomål.docx", "A 24421-2026")</f>
        <v/>
      </c>
      <c r="AB33">
        <f>HYPERLINK("https://klasma.github.io/Logging_1265/klagomålsmail/A 24421-2026 FSC-klagomål mail.docx", "A 24421-2026")</f>
        <v/>
      </c>
      <c r="AC33">
        <f>HYPERLINK("https://klasma.github.io/Logging_1265/tillsyn/A 24421-2026 tillsynsbegäran.docx", "A 24421-2026")</f>
        <v/>
      </c>
      <c r="AD33">
        <f>HYPERLINK("https://klasma.github.io/Logging_1265/tillsynsmail/A 24421-2026 tillsynsbegäran mail.docx", "A 24421-2026")</f>
        <v/>
      </c>
    </row>
    <row r="34" ht="15" customHeight="1">
      <c r="A34" t="inlineStr">
        <is>
          <t>A 8150-2024</t>
        </is>
      </c>
      <c r="B34" t="inlineStr">
        <is>
          <t>avverkningsanmälan</t>
        </is>
      </c>
      <c r="C34" t="inlineStr">
        <is>
          <t>Föryngringsavverkning</t>
        </is>
      </c>
      <c r="D34" s="1" t="n">
        <v>45351</v>
      </c>
      <c r="E34" s="1" t="n">
        <v>46297</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46297</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46297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46297</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46297</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46297</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46297</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32732-2022</t>
        </is>
      </c>
      <c r="B43" t="inlineStr">
        <is>
          <t>avverkningsanmälan</t>
        </is>
      </c>
      <c r="C43" t="inlineStr">
        <is>
          <t>Föryngringsavverkning</t>
        </is>
      </c>
      <c r="D43" s="1" t="n">
        <v>44783</v>
      </c>
      <c r="E43" s="1" t="n">
        <v>46297</v>
      </c>
      <c r="F43" t="inlineStr">
        <is>
          <t>SKÅNE LÄN</t>
        </is>
      </c>
      <c r="G43" t="inlineStr">
        <is>
          <t>SJÖBO</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8858-2025</t>
        </is>
      </c>
      <c r="B44" t="inlineStr">
        <is>
          <t>avverkningsanmälan</t>
        </is>
      </c>
      <c r="C44" t="inlineStr">
        <is>
          <t>Föryngringsavverkning</t>
        </is>
      </c>
      <c r="D44" s="1" t="n">
        <v>45713</v>
      </c>
      <c r="E44" s="1" t="n">
        <v>46297</v>
      </c>
      <c r="F44" t="inlineStr">
        <is>
          <t>SKÅNE LÄN</t>
        </is>
      </c>
      <c r="G44" t="inlineStr">
        <is>
          <t>SJÖBO</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46297</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46297</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46297</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46297</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46297</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1235-2022</t>
        </is>
      </c>
      <c r="B50" t="inlineStr">
        <is>
          <t>avverkningsanmälan</t>
        </is>
      </c>
      <c r="C50" t="inlineStr">
        <is>
          <t>Föryngringsavverkning</t>
        </is>
      </c>
      <c r="D50" s="1" t="n">
        <v>44572</v>
      </c>
      <c r="E50" s="1" t="n">
        <v>46297</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746-2026</t>
        </is>
      </c>
      <c r="B51" t="inlineStr">
        <is>
          <t>avverkningsanmälan</t>
        </is>
      </c>
      <c r="C51" t="inlineStr">
        <is>
          <t>Föryngringsavverkning</t>
        </is>
      </c>
      <c r="D51" s="1" t="n">
        <v>46029</v>
      </c>
      <c r="E51" s="1" t="n">
        <v>46297</v>
      </c>
      <c r="F51" t="inlineStr">
        <is>
          <t>SKÅNE LÄN</t>
        </is>
      </c>
      <c r="G51" t="inlineStr">
        <is>
          <t>SJÖBO</t>
        </is>
      </c>
      <c r="H51" t="inlineStr">
        <is>
          <t>Sveaskog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749-2026</t>
        </is>
      </c>
      <c r="B52" t="inlineStr">
        <is>
          <t>avverkningsanmälan</t>
        </is>
      </c>
      <c r="C52" t="inlineStr">
        <is>
          <t>Föryngringsavverkning</t>
        </is>
      </c>
      <c r="D52" s="1" t="n">
        <v>46029</v>
      </c>
      <c r="E52" s="1" t="n">
        <v>46297</v>
      </c>
      <c r="F52" t="inlineStr">
        <is>
          <t>SKÅNE LÄN</t>
        </is>
      </c>
      <c r="G52" t="inlineStr">
        <is>
          <t>SJÖBO</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29816-2025</t>
        </is>
      </c>
      <c r="B53" t="inlineStr">
        <is>
          <t>avverkningsanmälan</t>
        </is>
      </c>
      <c r="C53" t="inlineStr">
        <is>
          <t>Föryngringsavverkning</t>
        </is>
      </c>
      <c r="D53" s="1" t="n">
        <v>45825</v>
      </c>
      <c r="E53" s="1" t="n">
        <v>46297</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46297</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54959-2022</t>
        </is>
      </c>
      <c r="B55" t="inlineStr">
        <is>
          <t>avverkningsanmälan</t>
        </is>
      </c>
      <c r="C55" t="inlineStr">
        <is>
          <t>Föryngringsavverkning</t>
        </is>
      </c>
      <c r="D55" s="1" t="n">
        <v>44886</v>
      </c>
      <c r="E55" s="1" t="n">
        <v>46297</v>
      </c>
      <c r="F55" t="inlineStr">
        <is>
          <t>SKÅNE LÄN</t>
        </is>
      </c>
      <c r="G55" t="inlineStr">
        <is>
          <t>SJÖBO</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5197-2026</t>
        </is>
      </c>
      <c r="B56" t="inlineStr">
        <is>
          <t>avverkningsanmälan</t>
        </is>
      </c>
      <c r="C56" t="inlineStr">
        <is>
          <t>Föryngringsavverkning</t>
        </is>
      </c>
      <c r="D56" s="1" t="n">
        <v>46049</v>
      </c>
      <c r="E56" s="1" t="n">
        <v>46297</v>
      </c>
      <c r="F56" t="inlineStr">
        <is>
          <t>SKÅNE LÄN</t>
        </is>
      </c>
      <c r="G56" t="inlineStr">
        <is>
          <t>SJÖBO</t>
        </is>
      </c>
      <c r="H56" t="inlineStr">
        <is>
          <t>Övriga Aktiebolag</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5404-2026</t>
        </is>
      </c>
      <c r="B57" t="inlineStr">
        <is>
          <t>avverkningsanmälan</t>
        </is>
      </c>
      <c r="C57" t="inlineStr">
        <is>
          <t>Föryngringsavverkning</t>
        </is>
      </c>
      <c r="D57" s="1" t="n">
        <v>46049</v>
      </c>
      <c r="E57" s="1" t="n">
        <v>46297</v>
      </c>
      <c r="F57" t="inlineStr">
        <is>
          <t>SKÅNE LÄN</t>
        </is>
      </c>
      <c r="G57" t="inlineStr">
        <is>
          <t>SJÖBO</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44893-2024</t>
        </is>
      </c>
      <c r="B58" t="inlineStr">
        <is>
          <t>avverkningsanmälan</t>
        </is>
      </c>
      <c r="C58" t="inlineStr">
        <is>
          <t>Föryngringsavverkning</t>
        </is>
      </c>
      <c r="D58" s="1" t="n">
        <v>45575</v>
      </c>
      <c r="E58" s="1" t="n">
        <v>46297</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60947-2024</t>
        </is>
      </c>
      <c r="B59" t="inlineStr">
        <is>
          <t>avverkningsanmälan</t>
        </is>
      </c>
      <c r="C59" t="inlineStr">
        <is>
          <t>Föryngringsavverkning</t>
        </is>
      </c>
      <c r="D59" s="1" t="n">
        <v>45645</v>
      </c>
      <c r="E59" s="1" t="n">
        <v>46297</v>
      </c>
      <c r="F59" t="inlineStr">
        <is>
          <t>SKÅNE LÄN</t>
        </is>
      </c>
      <c r="G59" t="inlineStr">
        <is>
          <t>SJÖBO</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7474-2026</t>
        </is>
      </c>
      <c r="B60" t="inlineStr">
        <is>
          <t>avverkningsanmälan</t>
        </is>
      </c>
      <c r="C60" t="inlineStr">
        <is>
          <t>Avverkning för att bevara och utveckla /försöksver</t>
        </is>
      </c>
      <c r="D60" s="1" t="n">
        <v>46059</v>
      </c>
      <c r="E60" s="1" t="n">
        <v>46297</v>
      </c>
      <c r="F60" t="inlineStr">
        <is>
          <t>SKÅNE LÄN</t>
        </is>
      </c>
      <c r="G60" t="inlineStr">
        <is>
          <t>SJÖBO</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8859-2025</t>
        </is>
      </c>
      <c r="B61" t="inlineStr">
        <is>
          <t>avverkningsanmälan</t>
        </is>
      </c>
      <c r="C61" t="inlineStr">
        <is>
          <t>Föryngringsavverkning</t>
        </is>
      </c>
      <c r="D61" s="1" t="n">
        <v>45713</v>
      </c>
      <c r="E61" s="1" t="n">
        <v>46297</v>
      </c>
      <c r="F61" t="inlineStr">
        <is>
          <t>SKÅNE LÄN</t>
        </is>
      </c>
      <c r="G61" t="inlineStr">
        <is>
          <t>SJÖBO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46297</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4663-2026</t>
        </is>
      </c>
      <c r="B63" t="inlineStr">
        <is>
          <t>avverkningsanmälan</t>
        </is>
      </c>
      <c r="C63" t="inlineStr">
        <is>
          <t>Föryngringsavverkning</t>
        </is>
      </c>
      <c r="D63" s="1" t="n">
        <v>46048</v>
      </c>
      <c r="E63" s="1" t="n">
        <v>46297</v>
      </c>
      <c r="F63" t="inlineStr">
        <is>
          <t>SKÅNE LÄN</t>
        </is>
      </c>
      <c r="G63" t="inlineStr">
        <is>
          <t>SJÖBO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62798-2025</t>
        </is>
      </c>
      <c r="B64" t="inlineStr">
        <is>
          <t>avverkningsanmälan</t>
        </is>
      </c>
      <c r="C64" t="inlineStr">
        <is>
          <t>Föryngringsavverkning</t>
        </is>
      </c>
      <c r="D64" s="1" t="n">
        <v>46008</v>
      </c>
      <c r="E64" s="1" t="n">
        <v>46297</v>
      </c>
      <c r="F64" t="inlineStr">
        <is>
          <t>SKÅNE LÄN</t>
        </is>
      </c>
      <c r="G64" t="inlineStr">
        <is>
          <t>SJÖBO</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62807-2025</t>
        </is>
      </c>
      <c r="B65" t="inlineStr">
        <is>
          <t>avverkningsanmälan</t>
        </is>
      </c>
      <c r="C65" t="inlineStr">
        <is>
          <t>Föryngringsavverkning</t>
        </is>
      </c>
      <c r="D65" s="1" t="n">
        <v>46008</v>
      </c>
      <c r="E65" s="1" t="n">
        <v>46297</v>
      </c>
      <c r="F65" t="inlineStr">
        <is>
          <t>SKÅNE LÄN</t>
        </is>
      </c>
      <c r="G65" t="inlineStr">
        <is>
          <t>SJÖBO</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1858-2025</t>
        </is>
      </c>
      <c r="B66" t="inlineStr">
        <is>
          <t>avverkningsanmälan</t>
        </is>
      </c>
      <c r="C66" t="inlineStr">
        <is>
          <t>Föryngringsavverkning</t>
        </is>
      </c>
      <c r="D66" s="1" t="n">
        <v>45671</v>
      </c>
      <c r="E66" s="1" t="n">
        <v>46297</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46297</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49897-2025</t>
        </is>
      </c>
      <c r="B68" t="inlineStr">
        <is>
          <t>avverkningsanmälan</t>
        </is>
      </c>
      <c r="C68" t="inlineStr">
        <is>
          <t>Föryngringsavverkning</t>
        </is>
      </c>
      <c r="D68" s="1" t="n">
        <v>45940</v>
      </c>
      <c r="E68" s="1" t="n">
        <v>46297</v>
      </c>
      <c r="F68" t="inlineStr">
        <is>
          <t>SKÅNE LÄN</t>
        </is>
      </c>
      <c r="G68" t="inlineStr">
        <is>
          <t>SJÖBO</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11500-2024</t>
        </is>
      </c>
      <c r="B69" t="inlineStr">
        <is>
          <t>avverkningsanmälan</t>
        </is>
      </c>
      <c r="C69" t="inlineStr">
        <is>
          <t>Föryngringsavverkning</t>
        </is>
      </c>
      <c r="D69" s="1" t="n">
        <v>45372</v>
      </c>
      <c r="E69" s="1" t="n">
        <v>46297</v>
      </c>
      <c r="F69" t="inlineStr">
        <is>
          <t>SKÅNE LÄN</t>
        </is>
      </c>
      <c r="G69" t="inlineStr">
        <is>
          <t>SJÖBO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36414-2023</t>
        </is>
      </c>
      <c r="B70" t="inlineStr">
        <is>
          <t>avverkningsanmälan</t>
        </is>
      </c>
      <c r="C70" t="inlineStr">
        <is>
          <t>Föryngringsavverkning</t>
        </is>
      </c>
      <c r="D70" s="1" t="n">
        <v>45152</v>
      </c>
      <c r="E70" s="1" t="n">
        <v>46297</v>
      </c>
      <c r="F70" t="inlineStr">
        <is>
          <t>SKÅNE LÄN</t>
        </is>
      </c>
      <c r="G70" t="inlineStr">
        <is>
          <t>SJÖBO</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14573-2026</t>
        </is>
      </c>
      <c r="B71" t="inlineStr">
        <is>
          <t>avverkningsanmälan</t>
        </is>
      </c>
      <c r="C71" t="inlineStr">
        <is>
          <t>Föryngringsavverkning</t>
        </is>
      </c>
      <c r="D71" s="1" t="n">
        <v>46101</v>
      </c>
      <c r="E71" s="1" t="n">
        <v>46297</v>
      </c>
      <c r="F71" t="inlineStr">
        <is>
          <t>SKÅNE LÄN</t>
        </is>
      </c>
      <c r="G71" t="inlineStr">
        <is>
          <t>SJÖBO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14572-2026</t>
        </is>
      </c>
      <c r="B72" t="inlineStr">
        <is>
          <t>avverkningsanmälan</t>
        </is>
      </c>
      <c r="C72" t="inlineStr">
        <is>
          <t>Föryngringsavverkning</t>
        </is>
      </c>
      <c r="D72" s="1" t="n">
        <v>46101</v>
      </c>
      <c r="E72" s="1" t="n">
        <v>46297</v>
      </c>
      <c r="F72" t="inlineStr">
        <is>
          <t>SKÅNE LÄN</t>
        </is>
      </c>
      <c r="G72" t="inlineStr">
        <is>
          <t>SJÖBO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40463-2025</t>
        </is>
      </c>
      <c r="B73" t="inlineStr">
        <is>
          <t>avverkningsanmälan</t>
        </is>
      </c>
      <c r="C73" t="inlineStr">
        <is>
          <t>Föryngringsavverkning</t>
        </is>
      </c>
      <c r="D73" s="1" t="n">
        <v>45895</v>
      </c>
      <c r="E73" s="1" t="n">
        <v>46297</v>
      </c>
      <c r="F73" t="inlineStr">
        <is>
          <t>SKÅNE LÄN</t>
        </is>
      </c>
      <c r="G73" t="inlineStr">
        <is>
          <t>SJÖBO</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45348-2024</t>
        </is>
      </c>
      <c r="B74" t="inlineStr">
        <is>
          <t>avverkningsanmälan</t>
        </is>
      </c>
      <c r="C74" t="inlineStr">
        <is>
          <t>Föryngringsavverkning</t>
        </is>
      </c>
      <c r="D74" s="1" t="n">
        <v>45576</v>
      </c>
      <c r="E74" s="1" t="n">
        <v>46297</v>
      </c>
      <c r="F74" t="inlineStr">
        <is>
          <t>SKÅNE LÄN</t>
        </is>
      </c>
      <c r="G74" t="inlineStr">
        <is>
          <t>SJÖBO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19880-2024</t>
        </is>
      </c>
      <c r="B75" t="inlineStr">
        <is>
          <t>avverkningsanmälan</t>
        </is>
      </c>
      <c r="C75" t="inlineStr">
        <is>
          <t>Föryngringsavverkning</t>
        </is>
      </c>
      <c r="D75" s="1" t="n">
        <v>45433</v>
      </c>
      <c r="E75" s="1" t="n">
        <v>46297</v>
      </c>
      <c r="F75" t="inlineStr">
        <is>
          <t>SKÅNE LÄN</t>
        </is>
      </c>
      <c r="G75" t="inlineStr">
        <is>
          <t>SJÖBO</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24833-2025</t>
        </is>
      </c>
      <c r="B76" t="inlineStr">
        <is>
          <t>avverkningsanmälan</t>
        </is>
      </c>
      <c r="C76" t="inlineStr">
        <is>
          <t>Föryngringsavverkning</t>
        </is>
      </c>
      <c r="D76" s="1" t="n">
        <v>45799</v>
      </c>
      <c r="E76" s="1" t="n">
        <v>46297</v>
      </c>
      <c r="F76" t="inlineStr">
        <is>
          <t>SKÅNE LÄN</t>
        </is>
      </c>
      <c r="G76" t="inlineStr">
        <is>
          <t>SJÖBO</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14747-2023</t>
        </is>
      </c>
      <c r="B77" t="inlineStr">
        <is>
          <t>avverkningsanmälan</t>
        </is>
      </c>
      <c r="C77" t="inlineStr">
        <is>
          <t>Föryngringsavverkning</t>
        </is>
      </c>
      <c r="D77" s="1" t="n">
        <v>45014</v>
      </c>
      <c r="E77" s="1" t="n">
        <v>46297</v>
      </c>
      <c r="F77" t="inlineStr">
        <is>
          <t>SKÅNE LÄN</t>
        </is>
      </c>
      <c r="G77" t="inlineStr">
        <is>
          <t>SJÖBO</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8862-2025</t>
        </is>
      </c>
      <c r="B78" t="inlineStr">
        <is>
          <t>avverkningsanmälan</t>
        </is>
      </c>
      <c r="C78" t="inlineStr">
        <is>
          <t>Föryngringsavverkning</t>
        </is>
      </c>
      <c r="D78" s="1" t="n">
        <v>45713</v>
      </c>
      <c r="E78" s="1" t="n">
        <v>46297</v>
      </c>
      <c r="F78" t="inlineStr">
        <is>
          <t>SKÅNE LÄN</t>
        </is>
      </c>
      <c r="G78" t="inlineStr">
        <is>
          <t>SJÖBO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29821-2025</t>
        </is>
      </c>
      <c r="B79" t="inlineStr">
        <is>
          <t>avverkningsanmälan</t>
        </is>
      </c>
      <c r="C79" t="inlineStr">
        <is>
          <t>Föryngringsavverkning</t>
        </is>
      </c>
      <c r="D79" s="1" t="n">
        <v>45825</v>
      </c>
      <c r="E79" s="1" t="n">
        <v>46297</v>
      </c>
      <c r="F79" t="inlineStr">
        <is>
          <t>SKÅNE LÄN</t>
        </is>
      </c>
      <c r="G79" t="inlineStr">
        <is>
          <t>SJÖBO</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61431-2025</t>
        </is>
      </c>
      <c r="B80" t="inlineStr">
        <is>
          <t>avverkningsanmälan</t>
        </is>
      </c>
      <c r="C80" t="inlineStr">
        <is>
          <t>Föryngringsavverkning</t>
        </is>
      </c>
      <c r="D80" s="1" t="n">
        <v>46001</v>
      </c>
      <c r="E80" s="1" t="n">
        <v>46297</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30453-2025</t>
        </is>
      </c>
      <c r="B81" t="inlineStr">
        <is>
          <t>avverkningsanmälan</t>
        </is>
      </c>
      <c r="C81" t="inlineStr">
        <is>
          <t>Föryngringsavverkning</t>
        </is>
      </c>
      <c r="D81" s="1" t="n">
        <v>45827</v>
      </c>
      <c r="E81" s="1" t="n">
        <v>46297</v>
      </c>
      <c r="F81" t="inlineStr">
        <is>
          <t>SKÅNE LÄN</t>
        </is>
      </c>
      <c r="G81" t="inlineStr">
        <is>
          <t>SJÖBO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16979-2025</t>
        </is>
      </c>
      <c r="B82" t="inlineStr">
        <is>
          <t>avverkningsanmälan</t>
        </is>
      </c>
      <c r="C82" t="inlineStr">
        <is>
          <t>Föryngringsavverkning</t>
        </is>
      </c>
      <c r="D82" s="1" t="n">
        <v>45755</v>
      </c>
      <c r="E82" s="1" t="n">
        <v>46297</v>
      </c>
      <c r="F82" t="inlineStr">
        <is>
          <t>SKÅNE LÄN</t>
        </is>
      </c>
      <c r="G82" t="inlineStr">
        <is>
          <t>SJÖBO</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34173-2025</t>
        </is>
      </c>
      <c r="B83" t="inlineStr">
        <is>
          <t>avverkningsanmälan</t>
        </is>
      </c>
      <c r="C83" t="inlineStr">
        <is>
          <t>Föryngringsavverkning</t>
        </is>
      </c>
      <c r="D83" s="1" t="n">
        <v>45845</v>
      </c>
      <c r="E83" s="1" t="n">
        <v>46297</v>
      </c>
      <c r="F83" t="inlineStr">
        <is>
          <t>SKÅNE LÄN</t>
        </is>
      </c>
      <c r="G83" t="inlineStr">
        <is>
          <t>SJÖBO</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1879-2025</t>
        </is>
      </c>
      <c r="B84" t="inlineStr">
        <is>
          <t>avverkningsanmälan</t>
        </is>
      </c>
      <c r="C84" t="inlineStr">
        <is>
          <t>Föryngringsavverkning</t>
        </is>
      </c>
      <c r="D84" s="1" t="n">
        <v>45671</v>
      </c>
      <c r="E84" s="1" t="n">
        <v>46297</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34780-2025</t>
        </is>
      </c>
      <c r="B85" t="inlineStr">
        <is>
          <t>avverkningsanmälan</t>
        </is>
      </c>
      <c r="C85" t="inlineStr">
        <is>
          <t>Avverkning för annat ändamål</t>
        </is>
      </c>
      <c r="D85" s="1" t="n">
        <v>45848</v>
      </c>
      <c r="E85" s="1" t="n">
        <v>46297</v>
      </c>
      <c r="F85" t="inlineStr">
        <is>
          <t>SKÅNE LÄN</t>
        </is>
      </c>
      <c r="G85" t="inlineStr">
        <is>
          <t>SJÖBO</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56137-2021</t>
        </is>
      </c>
      <c r="B86" t="inlineStr">
        <is>
          <t>avverkningsanmälan</t>
        </is>
      </c>
      <c r="C86" t="inlineStr">
        <is>
          <t>Föryngringsavverkning</t>
        </is>
      </c>
      <c r="D86" s="1" t="n">
        <v>44477</v>
      </c>
      <c r="E86" s="1" t="n">
        <v>46297</v>
      </c>
      <c r="F86" t="inlineStr">
        <is>
          <t>SKÅNE LÄN</t>
        </is>
      </c>
      <c r="G86" t="inlineStr">
        <is>
          <t>SJÖBO</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21479-2026</t>
        </is>
      </c>
      <c r="B87" t="inlineStr">
        <is>
          <t>avverkningsanmälan</t>
        </is>
      </c>
      <c r="C87" t="inlineStr">
        <is>
          <t>Avverkning för annat ändamål</t>
        </is>
      </c>
      <c r="D87" s="1" t="n">
        <v>46148</v>
      </c>
      <c r="E87" s="1" t="n">
        <v>46297</v>
      </c>
      <c r="F87" t="inlineStr">
        <is>
          <t>SKÅNE LÄN</t>
        </is>
      </c>
      <c r="G87" t="inlineStr">
        <is>
          <t>SJÖBO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7059-2025</t>
        </is>
      </c>
      <c r="B88" t="inlineStr">
        <is>
          <t>avverkningsanmälan</t>
        </is>
      </c>
      <c r="C88" t="inlineStr">
        <is>
          <t>Föryngringsavverkning</t>
        </is>
      </c>
      <c r="D88" s="1" t="n">
        <v>45701</v>
      </c>
      <c r="E88" s="1" t="n">
        <v>46297</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28923-2023</t>
        </is>
      </c>
      <c r="B89" t="inlineStr">
        <is>
          <t>avverkningsanmälan</t>
        </is>
      </c>
      <c r="C89" t="inlineStr">
        <is>
          <t>Avverkning för annat ändamål</t>
        </is>
      </c>
      <c r="D89" s="1" t="n">
        <v>45104</v>
      </c>
      <c r="E89" s="1" t="n">
        <v>46297</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42599-2025</t>
        </is>
      </c>
      <c r="B90" t="inlineStr">
        <is>
          <t>avverkningsanmälan</t>
        </is>
      </c>
      <c r="C90" t="inlineStr">
        <is>
          <t>Föryngringsavverkning</t>
        </is>
      </c>
      <c r="D90" s="1" t="n">
        <v>45905</v>
      </c>
      <c r="E90" s="1" t="n">
        <v>46297</v>
      </c>
      <c r="F90" t="inlineStr">
        <is>
          <t>SKÅNE LÄN</t>
        </is>
      </c>
      <c r="G90" t="inlineStr">
        <is>
          <t>SJÖBO</t>
        </is>
      </c>
      <c r="I90" t="n">
        <v>9.800000000000001</v>
      </c>
      <c r="J90" t="n">
        <v>0</v>
      </c>
      <c r="K90" t="n">
        <v>0</v>
      </c>
      <c r="L90" t="n">
        <v>0</v>
      </c>
      <c r="M90" t="n">
        <v>0</v>
      </c>
      <c r="N90" t="n">
        <v>0</v>
      </c>
      <c r="O90" t="n">
        <v>0</v>
      </c>
      <c r="P90" t="n">
        <v>0</v>
      </c>
      <c r="Q90" t="n">
        <v>0</v>
      </c>
      <c r="R90" t="n">
        <v>0</v>
      </c>
      <c r="S90" t="n">
        <v>0</v>
      </c>
      <c r="T90" t="n">
        <v>0</v>
      </c>
      <c r="U90" t="n">
        <v>0</v>
      </c>
      <c r="V90" s="2" t="inlineStr"/>
    </row>
    <row r="91" ht="15" customHeight="1">
      <c r="A91" t="inlineStr">
        <is>
          <t>A 31403-2023</t>
        </is>
      </c>
      <c r="B91" t="inlineStr">
        <is>
          <t>avverkningsanmälan</t>
        </is>
      </c>
      <c r="C91" t="inlineStr">
        <is>
          <t>Föryngringsavverkning</t>
        </is>
      </c>
      <c r="D91" s="1" t="n">
        <v>45114</v>
      </c>
      <c r="E91" s="1" t="n">
        <v>46297</v>
      </c>
      <c r="F91" t="inlineStr">
        <is>
          <t>SKÅNE LÄN</t>
        </is>
      </c>
      <c r="G91" t="inlineStr">
        <is>
          <t>SJÖBO</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15856-2022</t>
        </is>
      </c>
      <c r="B92" t="inlineStr">
        <is>
          <t>avverkningsanmälan</t>
        </is>
      </c>
      <c r="C92" t="inlineStr">
        <is>
          <t>Föryngringsavverkning</t>
        </is>
      </c>
      <c r="D92" s="1" t="n">
        <v>44664</v>
      </c>
      <c r="E92" s="1" t="n">
        <v>46297</v>
      </c>
      <c r="F92" t="inlineStr">
        <is>
          <t>SKÅNE LÄN</t>
        </is>
      </c>
      <c r="G92" t="inlineStr">
        <is>
          <t>SJÖBO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26781-2026</t>
        </is>
      </c>
      <c r="B93" t="inlineStr">
        <is>
          <t>avverkningsanmälan</t>
        </is>
      </c>
      <c r="C93" t="inlineStr">
        <is>
          <t>Föryngringsavverkning</t>
        </is>
      </c>
      <c r="D93" s="1" t="n">
        <v>46184</v>
      </c>
      <c r="E93" s="1" t="n">
        <v>46297</v>
      </c>
      <c r="F93" t="inlineStr">
        <is>
          <t>SKÅNE LÄN</t>
        </is>
      </c>
      <c r="G93" t="inlineStr">
        <is>
          <t>SJÖBO</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16346-2024</t>
        </is>
      </c>
      <c r="B94" t="inlineStr">
        <is>
          <t>avverkningsanmälan</t>
        </is>
      </c>
      <c r="C94" t="inlineStr">
        <is>
          <t>Föryngringsavverkning</t>
        </is>
      </c>
      <c r="D94" s="1" t="n">
        <v>45407</v>
      </c>
      <c r="E94" s="1" t="n">
        <v>46297</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34776-2023</t>
        </is>
      </c>
      <c r="B95" t="inlineStr">
        <is>
          <t>avverkningsanmälan</t>
        </is>
      </c>
      <c r="C95" t="inlineStr">
        <is>
          <t>Avverkning för annat ändamål</t>
        </is>
      </c>
      <c r="D95" s="1" t="n">
        <v>45140</v>
      </c>
      <c r="E95" s="1" t="n">
        <v>46297</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10454-2022</t>
        </is>
      </c>
      <c r="B96" t="inlineStr">
        <is>
          <t>avverkningsanmälan</t>
        </is>
      </c>
      <c r="C96" t="inlineStr">
        <is>
          <t>Föryngringsavverkning</t>
        </is>
      </c>
      <c r="D96" s="1" t="n">
        <v>44623</v>
      </c>
      <c r="E96" s="1" t="n">
        <v>46297</v>
      </c>
      <c r="F96" t="inlineStr">
        <is>
          <t>SKÅNE LÄN</t>
        </is>
      </c>
      <c r="G96" t="inlineStr">
        <is>
          <t>SJÖBO</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19884-2024</t>
        </is>
      </c>
      <c r="B97" t="inlineStr">
        <is>
          <t>avverkningsanmälan</t>
        </is>
      </c>
      <c r="C97" t="inlineStr">
        <is>
          <t>Föryngringsavverkning</t>
        </is>
      </c>
      <c r="D97" s="1" t="n">
        <v>45433</v>
      </c>
      <c r="E97" s="1" t="n">
        <v>46297</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22425-2024</t>
        </is>
      </c>
      <c r="B98" t="inlineStr">
        <is>
          <t>avverkningsanmälan</t>
        </is>
      </c>
      <c r="C98" t="inlineStr">
        <is>
          <t>Föryngringsavverkning</t>
        </is>
      </c>
      <c r="D98" s="1" t="n">
        <v>45446</v>
      </c>
      <c r="E98" s="1" t="n">
        <v>46297</v>
      </c>
      <c r="F98" t="inlineStr">
        <is>
          <t>SKÅNE LÄN</t>
        </is>
      </c>
      <c r="G98" t="inlineStr">
        <is>
          <t>SJÖBO</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43745-2023</t>
        </is>
      </c>
      <c r="B99" t="inlineStr">
        <is>
          <t>avverkningsanmälan</t>
        </is>
      </c>
      <c r="C99" t="inlineStr">
        <is>
          <t>Föryngringsavverkning</t>
        </is>
      </c>
      <c r="D99" s="1" t="n">
        <v>45187</v>
      </c>
      <c r="E99" s="1" t="n">
        <v>46297</v>
      </c>
      <c r="F99" t="inlineStr">
        <is>
          <t>SKÅNE LÄN</t>
        </is>
      </c>
      <c r="G99" t="inlineStr">
        <is>
          <t>SJÖBO</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60371-2023</t>
        </is>
      </c>
      <c r="B100" t="inlineStr">
        <is>
          <t>avverkningsanmälan</t>
        </is>
      </c>
      <c r="C100" t="inlineStr">
        <is>
          <t>Föryngringsavverkning</t>
        </is>
      </c>
      <c r="D100" s="1" t="n">
        <v>45259</v>
      </c>
      <c r="E100" s="1" t="n">
        <v>46297</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30704-2026</t>
        </is>
      </c>
      <c r="B101" t="inlineStr">
        <is>
          <t>avverkningsanmälan</t>
        </is>
      </c>
      <c r="C101" t="inlineStr">
        <is>
          <t>Föryngringsavverkning</t>
        </is>
      </c>
      <c r="D101" s="1" t="n">
        <v>46211</v>
      </c>
      <c r="E101" s="1" t="n">
        <v>46297</v>
      </c>
      <c r="F101" t="inlineStr">
        <is>
          <t>SKÅNE LÄN</t>
        </is>
      </c>
      <c r="G101" t="inlineStr">
        <is>
          <t>SJÖBO</t>
        </is>
      </c>
      <c r="H101" t="inlineStr">
        <is>
          <t>Övriga Aktiebolag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46397-2023</t>
        </is>
      </c>
      <c r="B102" t="inlineStr">
        <is>
          <t>avverkningsanmälan</t>
        </is>
      </c>
      <c r="C102" t="inlineStr">
        <is>
          <t>Föryngringsavverkning</t>
        </is>
      </c>
      <c r="D102" s="1" t="n">
        <v>45191</v>
      </c>
      <c r="E102" s="1" t="n">
        <v>46297</v>
      </c>
      <c r="F102" t="inlineStr">
        <is>
          <t>SKÅNE LÄN</t>
        </is>
      </c>
      <c r="G102" t="inlineStr">
        <is>
          <t>SJÖBO</t>
        </is>
      </c>
      <c r="I102" t="n">
        <v>9.300000000000001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50798-2023</t>
        </is>
      </c>
      <c r="B103" t="inlineStr">
        <is>
          <t>avverkningsanmälan</t>
        </is>
      </c>
      <c r="C103" t="inlineStr">
        <is>
          <t>Avverkning för annat ändamål</t>
        </is>
      </c>
      <c r="D103" s="1" t="n">
        <v>45217</v>
      </c>
      <c r="E103" s="1" t="n">
        <v>46297</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54711-2023</t>
        </is>
      </c>
      <c r="B104" t="inlineStr">
        <is>
          <t>avverkningsanmälan</t>
        </is>
      </c>
      <c r="C104" t="inlineStr">
        <is>
          <t>Föryngringsavverkning</t>
        </is>
      </c>
      <c r="D104" s="1" t="n">
        <v>45236</v>
      </c>
      <c r="E104" s="1" t="n">
        <v>46297</v>
      </c>
      <c r="F104" t="inlineStr">
        <is>
          <t>SKÅNE LÄN</t>
        </is>
      </c>
      <c r="G104" t="inlineStr">
        <is>
          <t>SJÖBO</t>
        </is>
      </c>
      <c r="H104" t="inlineStr">
        <is>
          <t>Kommuner</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27237-2024</t>
        </is>
      </c>
      <c r="B105" t="inlineStr">
        <is>
          <t>avverkningsanmälan</t>
        </is>
      </c>
      <c r="C105" t="inlineStr">
        <is>
          <t>Föryngringsavverkning</t>
        </is>
      </c>
      <c r="D105" s="1" t="n">
        <v>45471</v>
      </c>
      <c r="E105" s="1" t="n">
        <v>46297</v>
      </c>
      <c r="F105" t="inlineStr">
        <is>
          <t>SKÅNE LÄN</t>
        </is>
      </c>
      <c r="G105" t="inlineStr">
        <is>
          <t>SJÖBO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39414-2023</t>
        </is>
      </c>
      <c r="B106" t="inlineStr">
        <is>
          <t>avverkningsanmälan</t>
        </is>
      </c>
      <c r="C106" t="inlineStr">
        <is>
          <t>Föryngringsavverkning</t>
        </is>
      </c>
      <c r="D106" s="1" t="n">
        <v>45163</v>
      </c>
      <c r="E106" s="1" t="n">
        <v>46297</v>
      </c>
      <c r="F106" t="inlineStr">
        <is>
          <t>SKÅNE LÄN</t>
        </is>
      </c>
      <c r="G106" t="inlineStr">
        <is>
          <t>SJÖBO</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12965-2024</t>
        </is>
      </c>
      <c r="B107" t="inlineStr">
        <is>
          <t>avverkningsanmälan</t>
        </is>
      </c>
      <c r="C107" t="inlineStr">
        <is>
          <t>Föryngringsavverkning</t>
        </is>
      </c>
      <c r="D107" s="1" t="n">
        <v>45385</v>
      </c>
      <c r="E107" s="1" t="n">
        <v>46297</v>
      </c>
      <c r="F107" t="inlineStr">
        <is>
          <t>SKÅNE LÄN</t>
        </is>
      </c>
      <c r="G107" t="inlineStr">
        <is>
          <t>SJÖBO</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61031-2022</t>
        </is>
      </c>
      <c r="B108" t="inlineStr">
        <is>
          <t>avverkningsanmälan</t>
        </is>
      </c>
      <c r="C108" t="inlineStr">
        <is>
          <t>Föryngringsavverkning</t>
        </is>
      </c>
      <c r="D108" s="1" t="n">
        <v>44914</v>
      </c>
      <c r="E108" s="1" t="n">
        <v>46297</v>
      </c>
      <c r="F108" t="inlineStr">
        <is>
          <t>SKÅNE LÄN</t>
        </is>
      </c>
      <c r="G108" t="inlineStr">
        <is>
          <t>SJÖBO</t>
        </is>
      </c>
      <c r="H108" t="inlineStr">
        <is>
          <t>Övriga Aktiebolag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47656-2023</t>
        </is>
      </c>
      <c r="B109" t="inlineStr">
        <is>
          <t>avverkningsanmälan</t>
        </is>
      </c>
      <c r="C109" t="inlineStr">
        <is>
          <t>Föryngringsavverkning</t>
        </is>
      </c>
      <c r="D109" s="1" t="n">
        <v>45203</v>
      </c>
      <c r="E109" s="1" t="n">
        <v>46297</v>
      </c>
      <c r="F109" t="inlineStr">
        <is>
          <t>SKÅNE LÄN</t>
        </is>
      </c>
      <c r="G109" t="inlineStr">
        <is>
          <t>SJÖBO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38725-2026</t>
        </is>
      </c>
      <c r="B110" t="inlineStr">
        <is>
          <t>avverkningsanmälan</t>
        </is>
      </c>
      <c r="C110" t="inlineStr">
        <is>
          <t>Avverkning för annat ändamål</t>
        </is>
      </c>
      <c r="D110" s="1" t="n">
        <v>46285</v>
      </c>
      <c r="E110" s="1" t="n">
        <v>46297</v>
      </c>
      <c r="F110" t="inlineStr">
        <is>
          <t>SKÅNE LÄN</t>
        </is>
      </c>
      <c r="G110" t="inlineStr">
        <is>
          <t>SJÖBO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13754-2023</t>
        </is>
      </c>
      <c r="B111" t="inlineStr">
        <is>
          <t>avverkningsanmälan</t>
        </is>
      </c>
      <c r="C111" t="inlineStr">
        <is>
          <t>Föryngringsavverkning</t>
        </is>
      </c>
      <c r="D111" s="1" t="n">
        <v>45007</v>
      </c>
      <c r="E111" s="1" t="n">
        <v>46297</v>
      </c>
      <c r="F111" t="inlineStr">
        <is>
          <t>SKÅNE LÄN</t>
        </is>
      </c>
      <c r="G111" t="inlineStr">
        <is>
          <t>SJÖBO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38944-2026</t>
        </is>
      </c>
      <c r="B112" t="inlineStr">
        <is>
          <t>avverkningsanmälan</t>
        </is>
      </c>
      <c r="C112" t="inlineStr">
        <is>
          <t>Föryngringsavverkning</t>
        </is>
      </c>
      <c r="D112" s="1" t="n">
        <v>46286</v>
      </c>
      <c r="E112" s="1" t="n">
        <v>46297</v>
      </c>
      <c r="F112" t="inlineStr">
        <is>
          <t>SKÅNE LÄN</t>
        </is>
      </c>
      <c r="G112" t="inlineStr">
        <is>
          <t>SJÖBO</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46297</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46297</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38990-2026</t>
        </is>
      </c>
      <c r="B115" t="inlineStr">
        <is>
          <t>avverkningsanmälan</t>
        </is>
      </c>
      <c r="C115" t="inlineStr">
        <is>
          <t>Föryngringsavverkning</t>
        </is>
      </c>
      <c r="D115" s="1" t="n">
        <v>46287</v>
      </c>
      <c r="E115" s="1" t="n">
        <v>46297</v>
      </c>
      <c r="F115" t="inlineStr">
        <is>
          <t>SKÅNE LÄN</t>
        </is>
      </c>
      <c r="G115" t="inlineStr">
        <is>
          <t>SJÖBO</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16429-2023</t>
        </is>
      </c>
      <c r="B116" t="inlineStr">
        <is>
          <t>avverkningsanmälan</t>
        </is>
      </c>
      <c r="C116" t="inlineStr">
        <is>
          <t>Föryngringsavverkning</t>
        </is>
      </c>
      <c r="D116" s="1" t="n">
        <v>45029</v>
      </c>
      <c r="E116" s="1" t="n">
        <v>46297</v>
      </c>
      <c r="F116" t="inlineStr">
        <is>
          <t>SKÅNE LÄN</t>
        </is>
      </c>
      <c r="G116" t="inlineStr">
        <is>
          <t>SJÖBO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46297</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46297</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46297</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46297</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39407-2023</t>
        </is>
      </c>
      <c r="B121" t="inlineStr">
        <is>
          <t>avverkningsanmälan</t>
        </is>
      </c>
      <c r="C121" t="inlineStr">
        <is>
          <t>Avverkning för annat ändamål</t>
        </is>
      </c>
      <c r="D121" s="1" t="n">
        <v>45163</v>
      </c>
      <c r="E121" s="1" t="n">
        <v>46297</v>
      </c>
      <c r="F121" t="inlineStr">
        <is>
          <t>SKÅNE LÄN</t>
        </is>
      </c>
      <c r="G121" t="inlineStr">
        <is>
          <t>SJÖBO</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22406-2022</t>
        </is>
      </c>
      <c r="B122" t="inlineStr">
        <is>
          <t>avverkningsanmälan</t>
        </is>
      </c>
      <c r="C122" t="inlineStr">
        <is>
          <t>Föryngringsavverkning</t>
        </is>
      </c>
      <c r="D122" s="1" t="n">
        <v>44713</v>
      </c>
      <c r="E122" s="1" t="n">
        <v>46297</v>
      </c>
      <c r="F122" t="inlineStr">
        <is>
          <t>SKÅNE LÄN</t>
        </is>
      </c>
      <c r="G122" t="inlineStr">
        <is>
          <t>SJÖBO</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45981-2023</t>
        </is>
      </c>
      <c r="B123" t="inlineStr">
        <is>
          <t>avverkningsanmälan</t>
        </is>
      </c>
      <c r="C123" t="inlineStr">
        <is>
          <t>Föryngringsavverkning</t>
        </is>
      </c>
      <c r="D123" s="1" t="n">
        <v>45189</v>
      </c>
      <c r="E123" s="1" t="n">
        <v>46297</v>
      </c>
      <c r="F123" t="inlineStr">
        <is>
          <t>SKÅNE LÄN</t>
        </is>
      </c>
      <c r="G123" t="inlineStr">
        <is>
          <t>SJÖBO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19877-2024</t>
        </is>
      </c>
      <c r="B124" t="inlineStr">
        <is>
          <t>avverkningsanmälan</t>
        </is>
      </c>
      <c r="C124" t="inlineStr">
        <is>
          <t>Föryngringsavverkning</t>
        </is>
      </c>
      <c r="D124" s="1" t="n">
        <v>45433</v>
      </c>
      <c r="E124" s="1" t="n">
        <v>46297</v>
      </c>
      <c r="F124" t="inlineStr">
        <is>
          <t>SKÅNE LÄN</t>
        </is>
      </c>
      <c r="G124" t="inlineStr">
        <is>
          <t>SJÖBO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46297</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1031-2025</t>
        </is>
      </c>
      <c r="B126" t="inlineStr">
        <is>
          <t>avverkningsanmälan</t>
        </is>
      </c>
      <c r="C126" t="inlineStr">
        <is>
          <t>Föryngringsavverkning</t>
        </is>
      </c>
      <c r="D126" s="1" t="n">
        <v>45666</v>
      </c>
      <c r="E126" s="1" t="n">
        <v>46297</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16373-2024</t>
        </is>
      </c>
      <c r="B127" t="inlineStr">
        <is>
          <t>avverkningsanmälan</t>
        </is>
      </c>
      <c r="C127" t="inlineStr">
        <is>
          <t>Föryngringsavverkning</t>
        </is>
      </c>
      <c r="D127" s="1" t="n">
        <v>45407</v>
      </c>
      <c r="E127" s="1" t="n">
        <v>46297</v>
      </c>
      <c r="F127" t="inlineStr">
        <is>
          <t>SKÅNE LÄN</t>
        </is>
      </c>
      <c r="G127" t="inlineStr">
        <is>
          <t>SJÖBO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3258-2023</t>
        </is>
      </c>
      <c r="B128" t="inlineStr">
        <is>
          <t>avverkningsanmälan</t>
        </is>
      </c>
      <c r="C128" t="inlineStr">
        <is>
          <t>Avverkning för annat ändamål</t>
        </is>
      </c>
      <c r="D128" s="1" t="n">
        <v>44948</v>
      </c>
      <c r="E128" s="1" t="n">
        <v>46297</v>
      </c>
      <c r="F128" t="inlineStr">
        <is>
          <t>SKÅNE LÄN</t>
        </is>
      </c>
      <c r="G128" t="inlineStr">
        <is>
          <t>SJÖBO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22330-2024</t>
        </is>
      </c>
      <c r="B129" t="inlineStr">
        <is>
          <t>avverkningsanmälan</t>
        </is>
      </c>
      <c r="C129" t="inlineStr">
        <is>
          <t>Föryngringsavverkning</t>
        </is>
      </c>
      <c r="D129" s="1" t="n">
        <v>45446</v>
      </c>
      <c r="E129" s="1" t="n">
        <v>46297</v>
      </c>
      <c r="F129" t="inlineStr">
        <is>
          <t>SKÅNE LÄN</t>
        </is>
      </c>
      <c r="G129" t="inlineStr">
        <is>
          <t>SJÖBO</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2449-2023</t>
        </is>
      </c>
      <c r="B130" t="inlineStr">
        <is>
          <t>avverkningsanmälan</t>
        </is>
      </c>
      <c r="C130" t="inlineStr">
        <is>
          <t>Föryngringsavverkning</t>
        </is>
      </c>
      <c r="D130" s="1" t="n">
        <v>44943</v>
      </c>
      <c r="E130" s="1" t="n">
        <v>46297</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26730-2023</t>
        </is>
      </c>
      <c r="B131" t="inlineStr">
        <is>
          <t>avverkningsanmälan</t>
        </is>
      </c>
      <c r="C131" t="inlineStr">
        <is>
          <t>Avverkning för annat ändamål</t>
        </is>
      </c>
      <c r="D131" s="1" t="n">
        <v>45090</v>
      </c>
      <c r="E131" s="1" t="n">
        <v>46297</v>
      </c>
      <c r="F131" t="inlineStr">
        <is>
          <t>SKÅNE LÄN</t>
        </is>
      </c>
      <c r="G131" t="inlineStr">
        <is>
          <t>SJÖBO</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46297</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46297</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46297</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46297</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46297</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46297</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2026-10-02T01:59:54Z</dcterms:created>
  <dcterms:modified xmlns:dcterms="http://purl.org/dc/terms/" xmlns:xsi="http://www.w3.org/2001/XMLSchema-instance" xsi:type="dcterms:W3CDTF">2026-10-02T01:59:54Z</dcterms:modified>
</cp:coreProperties>
</file>