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46161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46161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46161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46161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46161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46161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46161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46161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46161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46161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46161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46161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59610-2023</t>
        </is>
      </c>
      <c r="B19" s="1" t="n">
        <v>45253</v>
      </c>
      <c r="C19" s="1" t="n">
        <v>46161</v>
      </c>
      <c r="D19" t="inlineStr">
        <is>
          <t>SKÅNE LÄN</t>
        </is>
      </c>
      <c r="E19" t="inlineStr">
        <is>
          <t>SJÖBO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HYPERLINK("https://klasma.github.io/Logging_1265/artfynd/A 59610-2023 artfynd.xlsx", "A 59610-2023")</f>
        <v/>
      </c>
      <c r="T19">
        <f>HYPERLINK("https://klasma.github.io/Logging_1265/kartor/A 59610-2023 karta.png", "A 59610-2023")</f>
        <v/>
      </c>
      <c r="V19">
        <f>HYPERLINK("https://klasma.github.io/Logging_1265/klagomål/A 59610-2023 FSC-klagomål.docx", "A 59610-2023")</f>
        <v/>
      </c>
      <c r="W19">
        <f>HYPERLINK("https://klasma.github.io/Logging_1265/klagomålsmail/A 59610-2023 FSC-klagomål mail.docx", "A 59610-2023")</f>
        <v/>
      </c>
      <c r="X19">
        <f>HYPERLINK("https://klasma.github.io/Logging_1265/tillsyn/A 59610-2023 tillsynsbegäran.docx", "A 59610-2023")</f>
        <v/>
      </c>
      <c r="Y19">
        <f>HYPERLINK("https://klasma.github.io/Logging_1265/tillsynsmail/A 59610-2023 tillsynsbegäran mail.docx", "A 59610-2023")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46161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46161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46161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46161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46161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46161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46161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1865-2025</t>
        </is>
      </c>
      <c r="B36" s="1" t="n">
        <v>45671</v>
      </c>
      <c r="C36" s="1" t="n">
        <v>46161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1858-2025</t>
        </is>
      </c>
      <c r="B37" s="1" t="n">
        <v>45671</v>
      </c>
      <c r="C37" s="1" t="n">
        <v>46161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46161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46161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46161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21973-2025</t>
        </is>
      </c>
      <c r="B41" s="1" t="n">
        <v>45784.6365162037</v>
      </c>
      <c r="C41" s="1" t="n">
        <v>46161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21976-2025</t>
        </is>
      </c>
      <c r="B42" s="1" t="n">
        <v>45784.64052083333</v>
      </c>
      <c r="C42" s="1" t="n">
        <v>46161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29816-2025</t>
        </is>
      </c>
      <c r="B43" s="1" t="n">
        <v>45825.83328703704</v>
      </c>
      <c r="C43" s="1" t="n">
        <v>46161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61875-2023</t>
        </is>
      </c>
      <c r="B44" s="1" t="n">
        <v>45265</v>
      </c>
      <c r="C44" s="1" t="n">
        <v>46161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3258-2023</t>
        </is>
      </c>
      <c r="B45" s="1" t="n">
        <v>44948</v>
      </c>
      <c r="C45" s="1" t="n">
        <v>46161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49897-2025</t>
        </is>
      </c>
      <c r="B46" s="1" t="n">
        <v>45940.58430555555</v>
      </c>
      <c r="C46" s="1" t="n">
        <v>46161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8861-2025</t>
        </is>
      </c>
      <c r="B47" s="1" t="n">
        <v>45713</v>
      </c>
      <c r="C47" s="1" t="n">
        <v>46161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45353-2024</t>
        </is>
      </c>
      <c r="B48" s="1" t="n">
        <v>45576.47909722223</v>
      </c>
      <c r="C48" s="1" t="n">
        <v>46161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50815-2025</t>
        </is>
      </c>
      <c r="B49" s="1" t="n">
        <v>45946.52924768518</v>
      </c>
      <c r="C49" s="1" t="n">
        <v>46161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50816-2025</t>
        </is>
      </c>
      <c r="B50" s="1" t="n">
        <v>45946.53009259259</v>
      </c>
      <c r="C50" s="1" t="n">
        <v>46161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2449-2023</t>
        </is>
      </c>
      <c r="B51" s="1" t="n">
        <v>44943.43438657407</v>
      </c>
      <c r="C51" s="1" t="n">
        <v>46161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46161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46161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24833-2025</t>
        </is>
      </c>
      <c r="B54" s="1" t="n">
        <v>45799.45917824074</v>
      </c>
      <c r="C54" s="1" t="n">
        <v>46161</v>
      </c>
      <c r="D54" t="inlineStr">
        <is>
          <t>SKÅNE LÄN</t>
        </is>
      </c>
      <c r="E54" t="inlineStr">
        <is>
          <t>SJÖBO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24830-2025</t>
        </is>
      </c>
      <c r="B55" s="1" t="n">
        <v>45799.45798611111</v>
      </c>
      <c r="C55" s="1" t="n">
        <v>46161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56137-2021</t>
        </is>
      </c>
      <c r="B56" s="1" t="n">
        <v>44477</v>
      </c>
      <c r="C56" s="1" t="n">
        <v>46161</v>
      </c>
      <c r="D56" t="inlineStr">
        <is>
          <t>SKÅNE LÄN</t>
        </is>
      </c>
      <c r="E56" t="inlineStr">
        <is>
          <t>SJÖBO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8859-2025</t>
        </is>
      </c>
      <c r="B57" s="1" t="n">
        <v>45713</v>
      </c>
      <c r="C57" s="1" t="n">
        <v>46161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46161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42323-2025</t>
        </is>
      </c>
      <c r="B59" s="1" t="n">
        <v>45903</v>
      </c>
      <c r="C59" s="1" t="n">
        <v>46161</v>
      </c>
      <c r="D59" t="inlineStr">
        <is>
          <t>SKÅNE LÄN</t>
        </is>
      </c>
      <c r="E59" t="inlineStr">
        <is>
          <t>SJÖBO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46161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46161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46161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43745-2023</t>
        </is>
      </c>
      <c r="B63" s="1" t="n">
        <v>45187.47180555556</v>
      </c>
      <c r="C63" s="1" t="n">
        <v>46161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46161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16429-2023</t>
        </is>
      </c>
      <c r="B65" s="1" t="n">
        <v>45029</v>
      </c>
      <c r="C65" s="1" t="n">
        <v>46161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45348-2024</t>
        </is>
      </c>
      <c r="B66" s="1" t="n">
        <v>45576.47644675926</v>
      </c>
      <c r="C66" s="1" t="n">
        <v>46161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28919-2023</t>
        </is>
      </c>
      <c r="B67" s="1" t="n">
        <v>45104</v>
      </c>
      <c r="C67" s="1" t="n">
        <v>46161</v>
      </c>
      <c r="D67" t="inlineStr">
        <is>
          <t>SKÅNE LÄN</t>
        </is>
      </c>
      <c r="E67" t="inlineStr">
        <is>
          <t>SJÖBO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40463-2025</t>
        </is>
      </c>
      <c r="B68" s="1" t="n">
        <v>45895</v>
      </c>
      <c r="C68" s="1" t="n">
        <v>46161</v>
      </c>
      <c r="D68" t="inlineStr">
        <is>
          <t>SKÅNE LÄN</t>
        </is>
      </c>
      <c r="E68" t="inlineStr">
        <is>
          <t>SJÖBO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45981-2023</t>
        </is>
      </c>
      <c r="B69" s="1" t="n">
        <v>45189</v>
      </c>
      <c r="C69" s="1" t="n">
        <v>46161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46161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29821-2025</t>
        </is>
      </c>
      <c r="B71" s="1" t="n">
        <v>45825.84996527778</v>
      </c>
      <c r="C71" s="1" t="n">
        <v>46161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30343-2025</t>
        </is>
      </c>
      <c r="B72" s="1" t="n">
        <v>45827</v>
      </c>
      <c r="C72" s="1" t="n">
        <v>46161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30451-2025</t>
        </is>
      </c>
      <c r="B73" s="1" t="n">
        <v>45827</v>
      </c>
      <c r="C73" s="1" t="n">
        <v>46161</v>
      </c>
      <c r="D73" t="inlineStr">
        <is>
          <t>SKÅNE LÄN</t>
        </is>
      </c>
      <c r="E73" t="inlineStr">
        <is>
          <t>SJÖBO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30453-2025</t>
        </is>
      </c>
      <c r="B74" s="1" t="n">
        <v>45827</v>
      </c>
      <c r="C74" s="1" t="n">
        <v>46161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54711-2023</t>
        </is>
      </c>
      <c r="B75" s="1" t="n">
        <v>45236</v>
      </c>
      <c r="C75" s="1" t="n">
        <v>46161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2026-2022</t>
        </is>
      </c>
      <c r="B76" s="1" t="n">
        <v>44575</v>
      </c>
      <c r="C76" s="1" t="n">
        <v>46161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46161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46161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34173-2025</t>
        </is>
      </c>
      <c r="B79" s="1" t="n">
        <v>45845.5909837963</v>
      </c>
      <c r="C79" s="1" t="n">
        <v>46161</v>
      </c>
      <c r="D79" t="inlineStr">
        <is>
          <t>SKÅNE LÄN</t>
        </is>
      </c>
      <c r="E79" t="inlineStr">
        <is>
          <t>SJÖBO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46161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34115-2025</t>
        </is>
      </c>
      <c r="B81" s="1" t="n">
        <v>45845.50957175926</v>
      </c>
      <c r="C81" s="1" t="n">
        <v>46161</v>
      </c>
      <c r="D81" t="inlineStr">
        <is>
          <t>SKÅNE LÄN</t>
        </is>
      </c>
      <c r="E81" t="inlineStr">
        <is>
          <t>SJÖBO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1235-2022</t>
        </is>
      </c>
      <c r="B82" s="1" t="n">
        <v>44572.58090277778</v>
      </c>
      <c r="C82" s="1" t="n">
        <v>46161</v>
      </c>
      <c r="D82" t="inlineStr">
        <is>
          <t>SKÅNE LÄN</t>
        </is>
      </c>
      <c r="E82" t="inlineStr">
        <is>
          <t>SJÖBO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1879-2025</t>
        </is>
      </c>
      <c r="B83" s="1" t="n">
        <v>45671</v>
      </c>
      <c r="C83" s="1" t="n">
        <v>46161</v>
      </c>
      <c r="D83" t="inlineStr">
        <is>
          <t>SKÅNE LÄN</t>
        </is>
      </c>
      <c r="E83" t="inlineStr">
        <is>
          <t>SJÖBO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27237-2024</t>
        </is>
      </c>
      <c r="B84" s="1" t="n">
        <v>45471</v>
      </c>
      <c r="C84" s="1" t="n">
        <v>46161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35454-2025</t>
        </is>
      </c>
      <c r="B85" s="1" t="n">
        <v>45855</v>
      </c>
      <c r="C85" s="1" t="n">
        <v>46161</v>
      </c>
      <c r="D85" t="inlineStr">
        <is>
          <t>SKÅNE LÄN</t>
        </is>
      </c>
      <c r="E85" t="inlineStr">
        <is>
          <t>SJÖBO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34780-2025</t>
        </is>
      </c>
      <c r="B86" s="1" t="n">
        <v>45848</v>
      </c>
      <c r="C86" s="1" t="n">
        <v>46161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36347-2025</t>
        </is>
      </c>
      <c r="B87" s="1" t="n">
        <v>45868.47796296296</v>
      </c>
      <c r="C87" s="1" t="n">
        <v>46161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19883-2024</t>
        </is>
      </c>
      <c r="B88" s="1" t="n">
        <v>45433</v>
      </c>
      <c r="C88" s="1" t="n">
        <v>46161</v>
      </c>
      <c r="D88" t="inlineStr">
        <is>
          <t>SKÅNE LÄN</t>
        </is>
      </c>
      <c r="E88" t="inlineStr">
        <is>
          <t>SJÖBO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19888-2024</t>
        </is>
      </c>
      <c r="B89" s="1" t="n">
        <v>45433</v>
      </c>
      <c r="C89" s="1" t="n">
        <v>46161</v>
      </c>
      <c r="D89" t="inlineStr">
        <is>
          <t>SKÅNE LÄN</t>
        </is>
      </c>
      <c r="E89" t="inlineStr">
        <is>
          <t>SJÖBO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46161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46161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46161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46161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60778-2023</t>
        </is>
      </c>
      <c r="B94" s="1" t="n">
        <v>45260</v>
      </c>
      <c r="C94" s="1" t="n">
        <v>46161</v>
      </c>
      <c r="D94" t="inlineStr">
        <is>
          <t>SKÅNE LÄN</t>
        </is>
      </c>
      <c r="E94" t="inlineStr">
        <is>
          <t>SJÖBO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60900-2025</t>
        </is>
      </c>
      <c r="B95" s="1" t="n">
        <v>45999</v>
      </c>
      <c r="C95" s="1" t="n">
        <v>46161</v>
      </c>
      <c r="D95" t="inlineStr">
        <is>
          <t>SKÅNE LÄN</t>
        </is>
      </c>
      <c r="E95" t="inlineStr">
        <is>
          <t>SJÖBO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61431-2025</t>
        </is>
      </c>
      <c r="B96" s="1" t="n">
        <v>46001.55604166666</v>
      </c>
      <c r="C96" s="1" t="n">
        <v>46161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1031-2025</t>
        </is>
      </c>
      <c r="B97" s="1" t="n">
        <v>45666.5195949074</v>
      </c>
      <c r="C97" s="1" t="n">
        <v>46161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46161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46161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46161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5444-2025</t>
        </is>
      </c>
      <c r="B101" s="1" t="n">
        <v>45692</v>
      </c>
      <c r="C101" s="1" t="n">
        <v>46161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46161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8568-2023</t>
        </is>
      </c>
      <c r="B103" s="1" t="n">
        <v>44977</v>
      </c>
      <c r="C103" s="1" t="n">
        <v>46161</v>
      </c>
      <c r="D103" t="inlineStr">
        <is>
          <t>SKÅNE LÄN</t>
        </is>
      </c>
      <c r="E103" t="inlineStr">
        <is>
          <t>SJÖBO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46161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46161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46161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46161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746-2026</t>
        </is>
      </c>
      <c r="B108" s="1" t="n">
        <v>46029.67237268519</v>
      </c>
      <c r="C108" s="1" t="n">
        <v>46161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749-2026</t>
        </is>
      </c>
      <c r="B109" s="1" t="n">
        <v>46029.6750925926</v>
      </c>
      <c r="C109" s="1" t="n">
        <v>46161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46161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46161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3643-2026</t>
        </is>
      </c>
      <c r="B112" s="1" t="n">
        <v>46043.35827546296</v>
      </c>
      <c r="C112" s="1" t="n">
        <v>46161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46161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5197-2026</t>
        </is>
      </c>
      <c r="B114" s="1" t="n">
        <v>46049.66547453704</v>
      </c>
      <c r="C114" s="1" t="n">
        <v>46161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46161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45407.56798611111</v>
      </c>
      <c r="C116" s="1" t="n">
        <v>46161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5404-2026</t>
        </is>
      </c>
      <c r="B117" s="1" t="n">
        <v>46049</v>
      </c>
      <c r="C117" s="1" t="n">
        <v>46161</v>
      </c>
      <c r="D117" t="inlineStr">
        <is>
          <t>SKÅNE LÄN</t>
        </is>
      </c>
      <c r="E117" t="inlineStr">
        <is>
          <t>SJÖBO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46161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46161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46161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7474-2026</t>
        </is>
      </c>
      <c r="B121" s="1" t="n">
        <v>46059.49254629629</v>
      </c>
      <c r="C121" s="1" t="n">
        <v>46161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47943-2023</t>
        </is>
      </c>
      <c r="B122" s="1" t="n">
        <v>45204</v>
      </c>
      <c r="C122" s="1" t="n">
        <v>46161</v>
      </c>
      <c r="D122" t="inlineStr">
        <is>
          <t>SKÅNE LÄN</t>
        </is>
      </c>
      <c r="E122" t="inlineStr">
        <is>
          <t>SJÖBO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32732-2022</t>
        </is>
      </c>
      <c r="B123" s="1" t="n">
        <v>44783</v>
      </c>
      <c r="C123" s="1" t="n">
        <v>46161</v>
      </c>
      <c r="D123" t="inlineStr">
        <is>
          <t>SKÅNE LÄN</t>
        </is>
      </c>
      <c r="E123" t="inlineStr">
        <is>
          <t>SJÖBO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46397-2023</t>
        </is>
      </c>
      <c r="B124" s="1" t="n">
        <v>45191</v>
      </c>
      <c r="C124" s="1" t="n">
        <v>46161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16340-2024</t>
        </is>
      </c>
      <c r="B125" s="1" t="n">
        <v>45407.56114583334</v>
      </c>
      <c r="C125" s="1" t="n">
        <v>46161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4663-2026</t>
        </is>
      </c>
      <c r="B126" s="1" t="n">
        <v>46048.4096875</v>
      </c>
      <c r="C126" s="1" t="n">
        <v>46161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46161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36414-2023</t>
        </is>
      </c>
      <c r="B128" s="1" t="n">
        <v>45152</v>
      </c>
      <c r="C128" s="1" t="n">
        <v>46161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46161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46161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62807-2025</t>
        </is>
      </c>
      <c r="B131" s="1" t="n">
        <v>46008</v>
      </c>
      <c r="C131" s="1" t="n">
        <v>46161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62798-2025</t>
        </is>
      </c>
      <c r="B132" s="1" t="n">
        <v>46008</v>
      </c>
      <c r="C132" s="1" t="n">
        <v>46161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15856-2022</t>
        </is>
      </c>
      <c r="B133" s="1" t="n">
        <v>44664</v>
      </c>
      <c r="C133" s="1" t="n">
        <v>46161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22425-2024</t>
        </is>
      </c>
      <c r="B134" s="1" t="n">
        <v>45446</v>
      </c>
      <c r="C134" s="1" t="n">
        <v>46161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26459-2021</t>
        </is>
      </c>
      <c r="B135" s="1" t="n">
        <v>44348</v>
      </c>
      <c r="C135" s="1" t="n">
        <v>46161</v>
      </c>
      <c r="D135" t="inlineStr">
        <is>
          <t>SKÅNE LÄN</t>
        </is>
      </c>
      <c r="E135" t="inlineStr">
        <is>
          <t>SJÖBO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46161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31403-2023</t>
        </is>
      </c>
      <c r="B137" s="1" t="n">
        <v>45114</v>
      </c>
      <c r="C137" s="1" t="n">
        <v>46161</v>
      </c>
      <c r="D137" t="inlineStr">
        <is>
          <t>SKÅNE LÄN</t>
        </is>
      </c>
      <c r="E137" t="inlineStr">
        <is>
          <t>SJÖBO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26730-2023</t>
        </is>
      </c>
      <c r="B138" s="1" t="n">
        <v>45090</v>
      </c>
      <c r="C138" s="1" t="n">
        <v>46161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14747-2023</t>
        </is>
      </c>
      <c r="B139" s="1" t="n">
        <v>45014</v>
      </c>
      <c r="C139" s="1" t="n">
        <v>46161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14572-2026</t>
        </is>
      </c>
      <c r="B140" s="1" t="n">
        <v>46101.27979166667</v>
      </c>
      <c r="C140" s="1" t="n">
        <v>46161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14573-2026</t>
        </is>
      </c>
      <c r="B141" s="1" t="n">
        <v>46101.28510416667</v>
      </c>
      <c r="C141" s="1" t="n">
        <v>46161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21479-2026</t>
        </is>
      </c>
      <c r="B142" s="1" t="n">
        <v>46148</v>
      </c>
      <c r="C142" s="1" t="n">
        <v>46161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1098-2025</t>
        </is>
      </c>
      <c r="B143" s="1" t="n">
        <v>45666.64070601852</v>
      </c>
      <c r="C143" s="1" t="n">
        <v>46161</v>
      </c>
      <c r="D143" t="inlineStr">
        <is>
          <t>SKÅNE LÄN</t>
        </is>
      </c>
      <c r="E143" t="inlineStr">
        <is>
          <t>SJÖBO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50798-2023</t>
        </is>
      </c>
      <c r="B144" s="1" t="n">
        <v>45217</v>
      </c>
      <c r="C144" s="1" t="n">
        <v>46161</v>
      </c>
      <c r="D144" t="inlineStr">
        <is>
          <t>SKÅNE LÄN</t>
        </is>
      </c>
      <c r="E144" t="inlineStr">
        <is>
          <t>SJÖBO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49298-2023</t>
        </is>
      </c>
      <c r="B145" s="1" t="n">
        <v>45210.86210648148</v>
      </c>
      <c r="C145" s="1" t="n">
        <v>46161</v>
      </c>
      <c r="D145" t="inlineStr">
        <is>
          <t>SKÅNE LÄN</t>
        </is>
      </c>
      <c r="E145" t="inlineStr">
        <is>
          <t>SJÖBO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48026-2021</t>
        </is>
      </c>
      <c r="B146" s="1" t="n">
        <v>44449</v>
      </c>
      <c r="C146" s="1" t="n">
        <v>46161</v>
      </c>
      <c r="D146" t="inlineStr">
        <is>
          <t>SKÅNE LÄN</t>
        </is>
      </c>
      <c r="E146" t="inlineStr">
        <is>
          <t>SJÖBO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52958-2024</t>
        </is>
      </c>
      <c r="B147" s="1" t="n">
        <v>45611.26017361111</v>
      </c>
      <c r="C147" s="1" t="n">
        <v>46161</v>
      </c>
      <c r="D147" t="inlineStr">
        <is>
          <t>SKÅNE LÄN</t>
        </is>
      </c>
      <c r="E147" t="inlineStr">
        <is>
          <t>SJÖBO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19877-2024</t>
        </is>
      </c>
      <c r="B148" s="1" t="n">
        <v>45433</v>
      </c>
      <c r="C148" s="1" t="n">
        <v>46161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13754-2023</t>
        </is>
      </c>
      <c r="B149" s="1" t="n">
        <v>45007.40105324074</v>
      </c>
      <c r="C149" s="1" t="n">
        <v>46161</v>
      </c>
      <c r="D149" t="inlineStr">
        <is>
          <t>SKÅNE LÄN</t>
        </is>
      </c>
      <c r="E149" t="inlineStr">
        <is>
          <t>SJÖBO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2026-05-19T10:57:21Z</dcterms:created>
  <dcterms:modified xmlns:dcterms="http://purl.org/dc/terms/" xmlns:xsi="http://www.w3.org/2001/XMLSchema-instance" xsi:type="dcterms:W3CDTF">2026-05-19T10:57:22Z</dcterms:modified>
</cp:coreProperties>
</file>